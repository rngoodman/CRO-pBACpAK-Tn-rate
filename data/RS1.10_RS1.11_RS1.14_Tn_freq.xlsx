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.goodman/Library/CloudStorage/OneDrive-LSTM/Manuscripts for Papers/STRESST - Effect of PNEC concentrations of CTX on pBACpAK MGE capture /submission/"/>
    </mc:Choice>
  </mc:AlternateContent>
  <xr:revisionPtr revIDLastSave="0" documentId="13_ncr:1_{612DF4B5-0925-B844-A5B1-EE9877912087}" xr6:coauthVersionLast="47" xr6:coauthVersionMax="47" xr10:uidLastSave="{00000000-0000-0000-0000-000000000000}"/>
  <bookViews>
    <workbookView xWindow="43120" yWindow="2080" windowWidth="35200" windowHeight="15980" xr2:uid="{109C26D4-FEBF-464D-AE94-8A9DB22B7F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E6" i="1" s="1"/>
  <c r="D7" i="1"/>
  <c r="E7" i="1" s="1"/>
  <c r="D8" i="1"/>
  <c r="E8" i="1" s="1"/>
  <c r="D9" i="1"/>
  <c r="E9" i="1" s="1"/>
  <c r="M2" i="2"/>
  <c r="M6" i="2"/>
  <c r="M10" i="2"/>
  <c r="N2" i="2"/>
  <c r="N3" i="2"/>
  <c r="N4" i="2"/>
  <c r="N5" i="2"/>
  <c r="N6" i="2"/>
  <c r="N7" i="2"/>
  <c r="N8" i="2"/>
  <c r="N9" i="2"/>
  <c r="N10" i="2"/>
  <c r="N11" i="2"/>
  <c r="N12" i="2"/>
  <c r="N13" i="2"/>
  <c r="M3" i="2"/>
  <c r="M4" i="2"/>
  <c r="M5" i="2"/>
  <c r="M7" i="2"/>
  <c r="M8" i="2"/>
  <c r="M11" i="2"/>
  <c r="M12" i="2"/>
  <c r="M13" i="2"/>
  <c r="V2" i="2"/>
  <c r="V3" i="2"/>
  <c r="V4" i="2"/>
  <c r="V5" i="2"/>
  <c r="V6" i="2"/>
  <c r="V7" i="2"/>
  <c r="V8" i="2"/>
  <c r="V9" i="2"/>
  <c r="V10" i="2"/>
  <c r="V11" i="2"/>
  <c r="V12" i="2"/>
  <c r="V13" i="2"/>
  <c r="K2" i="2"/>
  <c r="K3" i="2"/>
  <c r="K4" i="2"/>
  <c r="K5" i="2"/>
  <c r="K6" i="2"/>
  <c r="K7" i="2"/>
  <c r="K8" i="2"/>
  <c r="K9" i="2"/>
  <c r="K10" i="2"/>
  <c r="K11" i="2"/>
  <c r="K12" i="2"/>
  <c r="K13" i="2"/>
  <c r="J13" i="2"/>
  <c r="J12" i="2"/>
  <c r="J11" i="2"/>
  <c r="J10" i="2"/>
  <c r="J8" i="2"/>
  <c r="J7" i="2"/>
  <c r="J6" i="2"/>
  <c r="J5" i="2"/>
  <c r="J4" i="2"/>
  <c r="J3" i="2"/>
  <c r="J2" i="2"/>
  <c r="D13" i="1"/>
  <c r="D12" i="1"/>
  <c r="D11" i="1"/>
  <c r="D10" i="1"/>
  <c r="E10" i="1" s="1"/>
  <c r="H3" i="1"/>
  <c r="D4" i="1"/>
  <c r="D2" i="1"/>
  <c r="H9" i="1" l="1"/>
  <c r="H7" i="1"/>
  <c r="H6" i="1"/>
  <c r="H8" i="1"/>
  <c r="H2" i="1"/>
  <c r="E13" i="1"/>
  <c r="H13" i="1"/>
  <c r="E12" i="1"/>
  <c r="H12" i="1"/>
  <c r="E11" i="1"/>
  <c r="H11" i="1"/>
  <c r="H5" i="1"/>
  <c r="H4" i="1"/>
</calcChain>
</file>

<file path=xl/sharedStrings.xml><?xml version="1.0" encoding="utf-8"?>
<sst xmlns="http://schemas.openxmlformats.org/spreadsheetml/2006/main" count="67" uniqueCount="37">
  <si>
    <t>Concentration</t>
  </si>
  <si>
    <t>10x_colonies_T</t>
  </si>
  <si>
    <t>CFU_ml_T</t>
  </si>
  <si>
    <t>CFU_ml_N</t>
  </si>
  <si>
    <t>Freq</t>
  </si>
  <si>
    <t>Assay</t>
  </si>
  <si>
    <t>RS1.10</t>
  </si>
  <si>
    <t>RS1.11</t>
  </si>
  <si>
    <t>NA</t>
  </si>
  <si>
    <t>CFU_ml_TT</t>
  </si>
  <si>
    <t>RS1.14</t>
  </si>
  <si>
    <t>Replicon_system_name</t>
  </si>
  <si>
    <t>Replicon_system_num</t>
  </si>
  <si>
    <t>concentration</t>
  </si>
  <si>
    <t xml:space="preserve">Total number counted on TET plate </t>
  </si>
  <si>
    <t xml:space="preserve">Total number isolated from TET plate </t>
  </si>
  <si>
    <t>Transposants subcultured on plate</t>
  </si>
  <si>
    <t xml:space="preserve">Transposants subcultured in broth </t>
  </si>
  <si>
    <t>Transposants confirmed by PCR</t>
  </si>
  <si>
    <t>True Transposant percentages (PCR)</t>
  </si>
  <si>
    <t>True Transposant number (PCR)</t>
  </si>
  <si>
    <t>Transposants confirmed by sequencing</t>
  </si>
  <si>
    <t>IS10R</t>
  </si>
  <si>
    <t>Tn1000</t>
  </si>
  <si>
    <t>Tn2</t>
  </si>
  <si>
    <t>ISKpn25</t>
  </si>
  <si>
    <t>IS186B</t>
  </si>
  <si>
    <t xml:space="preserve">DH5a_pBACpAK-COL_pD25466 </t>
  </si>
  <si>
    <t>1.10</t>
  </si>
  <si>
    <t>1.11</t>
  </si>
  <si>
    <t>1.14</t>
  </si>
  <si>
    <t>IS1A</t>
  </si>
  <si>
    <t>IS5</t>
  </si>
  <si>
    <t>TT_pc</t>
  </si>
  <si>
    <t>True Transposant percentages (seq)</t>
  </si>
  <si>
    <t>True Transposant number (seq)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</si>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</sst>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BF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FFFFFF"/>
      </top>
      <bottom/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1" fontId="0" fillId="0" borderId="0" xfId="0" applyNumberFormat="1"/>
    <xf numFmtId="0" fontId="0" fillId="0" borderId="1" xfId="0" applyBorder="1"/>
    <xf numFmtId="11" fontId="0" fillId="0" borderId="1" xfId="0" applyNumberFormat="1" applyBorder="1"/>
    <xf numFmtId="0" fontId="0" fillId="0" borderId="0" xfId="0" applyAlignment="1">
      <alignment wrapText="1"/>
    </xf>
    <xf numFmtId="0" fontId="2" fillId="2" borderId="2" xfId="0" applyFont="1" applyFill="1" applyBorder="1" applyAlignment="1">
      <alignment horizontal="center" wrapText="1" readingOrder="1"/>
    </xf>
    <xf numFmtId="0" fontId="2" fillId="2" borderId="3" xfId="0" applyFont="1" applyFill="1" applyBorder="1" applyAlignment="1">
      <alignment horizontal="center" wrapText="1" readingOrder="1"/>
    </xf>
    <xf numFmtId="0" fontId="2" fillId="2" borderId="4" xfId="0" applyFont="1" applyFill="1" applyBorder="1" applyAlignment="1">
      <alignment horizontal="center" wrapText="1" readingOrder="1"/>
    </xf>
    <xf numFmtId="0" fontId="0" fillId="0" borderId="5" xfId="0" applyBorder="1"/>
    <xf numFmtId="0" fontId="0" fillId="0" borderId="6" xfId="0" applyBorder="1"/>
    <xf numFmtId="0" fontId="2" fillId="2" borderId="6" xfId="0" applyFont="1" applyFill="1" applyBorder="1" applyAlignment="1">
      <alignment horizontal="center" wrapText="1" readingOrder="1"/>
    </xf>
    <xf numFmtId="0" fontId="0" fillId="0" borderId="7" xfId="0" applyBorder="1"/>
    <xf numFmtId="0" fontId="2" fillId="2" borderId="7" xfId="0" applyFont="1" applyFill="1" applyBorder="1" applyAlignment="1">
      <alignment horizontal="center" wrapText="1" readingOrder="1"/>
    </xf>
    <xf numFmtId="0" fontId="4" fillId="2" borderId="6" xfId="0" applyFont="1" applyFill="1" applyBorder="1" applyAlignment="1">
      <alignment horizontal="center" wrapText="1" readingOrder="1"/>
    </xf>
    <xf numFmtId="0" fontId="4" fillId="2" borderId="7" xfId="0" applyFont="1" applyFill="1" applyBorder="1" applyAlignment="1">
      <alignment horizontal="center" wrapText="1" readingOrder="1"/>
    </xf>
    <xf numFmtId="0" fontId="0" fillId="2" borderId="6" xfId="0" applyFill="1" applyBorder="1"/>
    <xf numFmtId="0" fontId="0" fillId="2" borderId="7" xfId="0" applyFill="1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6" xfId="0" applyFont="1" applyFill="1" applyBorder="1" applyAlignment="1">
      <alignment horizontal="center" wrapText="1" readingOrder="1"/>
    </xf>
    <xf numFmtId="49" fontId="0" fillId="0" borderId="6" xfId="0" applyNumberFormat="1" applyBorder="1" applyAlignment="1">
      <alignment horizontal="right"/>
    </xf>
    <xf numFmtId="49" fontId="0" fillId="0" borderId="5" xfId="0" applyNumberFormat="1" applyBorder="1" applyAlignment="1">
      <alignment horizontal="right"/>
    </xf>
    <xf numFmtId="0" fontId="3" fillId="2" borderId="5" xfId="0" applyFont="1" applyFill="1" applyBorder="1" applyAlignment="1">
      <alignment horizontal="center" wrapText="1" readingOrder="1"/>
    </xf>
    <xf numFmtId="0" fontId="0" fillId="0" borderId="5" xfId="0" applyBorder="1" applyAlignment="1">
      <alignment vertical="center"/>
    </xf>
    <xf numFmtId="0" fontId="4" fillId="2" borderId="5" xfId="0" applyFont="1" applyFill="1" applyBorder="1" applyAlignment="1">
      <alignment horizontal="center" wrapText="1" readingOrder="1"/>
    </xf>
    <xf numFmtId="0" fontId="2" fillId="2" borderId="5" xfId="0" applyFont="1" applyFill="1" applyBorder="1" applyAlignment="1">
      <alignment horizontal="center" wrapText="1" readingOrder="1"/>
    </xf>
    <xf numFmtId="0" fontId="3" fillId="2" borderId="7" xfId="0" applyFont="1" applyFill="1" applyBorder="1" applyAlignment="1">
      <alignment horizontal="center" wrapText="1" readingOrder="1"/>
    </xf>
    <xf numFmtId="0" fontId="0" fillId="0" borderId="8" xfId="0" applyBorder="1"/>
    <xf numFmtId="49" fontId="0" fillId="0" borderId="7" xfId="0" applyNumberFormat="1" applyBorder="1" applyAlignment="1">
      <alignment horizontal="right"/>
    </xf>
    <xf numFmtId="0" fontId="0" fillId="2" borderId="5" xfId="0" applyFill="1" applyBorder="1"/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2" fontId="0" fillId="0" borderId="0" xfId="0" applyNumberFormat="1"/>
    <xf numFmtId="0" fontId="0" fillId="0" borderId="9" xfId="0" applyBorder="1" applyAlignment="1">
      <alignment vertical="center"/>
    </xf>
    <xf numFmtId="0" fontId="0" fillId="0" borderId="10" xfId="0" applyBorder="1"/>
  </cellXfs>
  <cellStyles count="1">
    <cellStyle name="Normal" xfId="0" builtinId="0"/>
  </cellStyles>
  <dxfs count="6">
    <dxf>
      <fill>
        <patternFill>
          <bgColor theme="4" tint="0.39994506668294322"/>
        </patternFill>
      </fill>
    </dxf>
    <dxf>
      <fill>
        <patternFill>
          <bgColor theme="3" tint="0.89996032593768116"/>
        </patternFill>
      </fill>
    </dxf>
    <dxf>
      <fill>
        <patternFill>
          <bgColor theme="5" tint="0.79998168889431442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460F-FEB7-2E47-9BA9-DDFC6F738690}">
  <dimension ref="A1:K13"/>
  <sheetViews>
    <sheetView tabSelected="1" zoomScaleNormal="100" workbookViewId="0">
      <selection activeCell="M9" sqref="M9"/>
    </sheetView>
  </sheetViews>
  <sheetFormatPr baseColWidth="10" defaultRowHeight="16" x14ac:dyDescent="0.2"/>
  <cols>
    <col min="2" max="2" width="15.33203125" customWidth="1"/>
    <col min="3" max="3" width="16.5" customWidth="1"/>
    <col min="4" max="6" width="12.33203125" customWidth="1"/>
    <col min="7" max="7" width="14.5" customWidth="1"/>
    <col min="8" max="8" width="8.5" customWidth="1"/>
    <col min="11" max="11" width="8.6640625" customWidth="1"/>
    <col min="13" max="13" width="12.5" bestFit="1" customWidth="1"/>
    <col min="15" max="15" width="21.83203125" customWidth="1"/>
  </cols>
  <sheetData>
    <row r="1" spans="1:11" ht="17" thickBot="1" x14ac:dyDescent="0.25">
      <c r="A1" s="11" t="s">
        <v>5</v>
      </c>
      <c r="B1" s="11" t="s">
        <v>0</v>
      </c>
      <c r="C1" s="11" t="s">
        <v>1</v>
      </c>
      <c r="D1" s="11" t="s">
        <v>2</v>
      </c>
      <c r="E1" s="11" t="s">
        <v>9</v>
      </c>
      <c r="F1" s="11" t="s">
        <v>33</v>
      </c>
      <c r="G1" s="11" t="s">
        <v>3</v>
      </c>
      <c r="H1" s="11" t="s">
        <v>4</v>
      </c>
    </row>
    <row r="2" spans="1:11" x14ac:dyDescent="0.2">
      <c r="A2" s="38" t="s">
        <v>6</v>
      </c>
      <c r="B2" s="38">
        <v>0</v>
      </c>
      <c r="C2" s="38">
        <v>83</v>
      </c>
      <c r="D2" s="38">
        <f>(C2/10)/0.1</f>
        <v>83</v>
      </c>
      <c r="E2" s="38">
        <v>46.325581395348799</v>
      </c>
      <c r="F2" s="38">
        <v>31.25</v>
      </c>
      <c r="G2" s="38">
        <v>186000000</v>
      </c>
      <c r="H2" s="38">
        <f>(D2/G2)</f>
        <v>4.4623655913978496E-7</v>
      </c>
    </row>
    <row r="3" spans="1:11" x14ac:dyDescent="0.2">
      <c r="A3" s="9" t="s">
        <v>6</v>
      </c>
      <c r="B3" s="9">
        <v>32</v>
      </c>
      <c r="C3" s="9">
        <v>46</v>
      </c>
      <c r="D3" s="9">
        <v>46</v>
      </c>
      <c r="E3" s="9">
        <v>27.000000000000004</v>
      </c>
      <c r="F3" s="9">
        <v>60.869565217391312</v>
      </c>
      <c r="G3" s="9">
        <v>107000000</v>
      </c>
      <c r="H3" s="9">
        <f>(D3/G3)</f>
        <v>4.2990654205607476E-7</v>
      </c>
    </row>
    <row r="4" spans="1:11" x14ac:dyDescent="0.2">
      <c r="A4" s="9" t="s">
        <v>6</v>
      </c>
      <c r="B4" s="9">
        <v>320</v>
      </c>
      <c r="C4" s="9">
        <v>61</v>
      </c>
      <c r="D4" s="9">
        <f t="shared" ref="D4:E13" si="0">(C4/10)/0.1</f>
        <v>60.999999999999993</v>
      </c>
      <c r="E4" s="9">
        <v>8.3181818181818183</v>
      </c>
      <c r="F4" s="9">
        <v>16.666666666666664</v>
      </c>
      <c r="G4" s="9">
        <v>56000000</v>
      </c>
      <c r="H4" s="9">
        <f>(D4/G4)</f>
        <v>1.0892857142857141E-6</v>
      </c>
    </row>
    <row r="5" spans="1:11" s="2" customFormat="1" ht="17" thickBot="1" x14ac:dyDescent="0.25">
      <c r="A5" s="11" t="s">
        <v>6</v>
      </c>
      <c r="B5" s="11">
        <v>3200</v>
      </c>
      <c r="C5" s="11">
        <v>6</v>
      </c>
      <c r="D5" s="11">
        <f>(C5/10)/0.1</f>
        <v>5.9999999999999991</v>
      </c>
      <c r="E5" s="11">
        <v>1.7647058823529411</v>
      </c>
      <c r="F5" s="11">
        <v>29.411764705882355</v>
      </c>
      <c r="G5" s="11">
        <v>39000000</v>
      </c>
      <c r="H5" s="11">
        <f>(D5/G5)</f>
        <v>1.5384615384615382E-7</v>
      </c>
    </row>
    <row r="6" spans="1:11" x14ac:dyDescent="0.2">
      <c r="A6" s="38" t="s">
        <v>7</v>
      </c>
      <c r="B6" s="38">
        <v>0</v>
      </c>
      <c r="C6" s="38">
        <v>2</v>
      </c>
      <c r="D6" s="38">
        <f t="shared" si="0"/>
        <v>2</v>
      </c>
      <c r="E6" s="38">
        <f t="shared" si="0"/>
        <v>2</v>
      </c>
      <c r="F6" s="38">
        <v>75</v>
      </c>
      <c r="G6" s="38">
        <v>175000000</v>
      </c>
      <c r="H6" s="38">
        <f>(D6/G6)</f>
        <v>1.1428571428571429E-8</v>
      </c>
    </row>
    <row r="7" spans="1:11" x14ac:dyDescent="0.2">
      <c r="A7" s="9" t="s">
        <v>7</v>
      </c>
      <c r="B7" s="9">
        <v>32</v>
      </c>
      <c r="C7" s="9">
        <v>58</v>
      </c>
      <c r="D7" s="9">
        <f t="shared" si="0"/>
        <v>57.999999999999993</v>
      </c>
      <c r="E7" s="9">
        <f t="shared" si="0"/>
        <v>57.999999999999986</v>
      </c>
      <c r="F7" s="9">
        <v>18.75</v>
      </c>
      <c r="G7" s="9">
        <v>62000000</v>
      </c>
      <c r="H7" s="9">
        <f>(D7/G7)</f>
        <v>9.3548387096774183E-7</v>
      </c>
    </row>
    <row r="8" spans="1:11" x14ac:dyDescent="0.2">
      <c r="A8" s="9" t="s">
        <v>7</v>
      </c>
      <c r="B8" s="9">
        <v>320</v>
      </c>
      <c r="C8" s="9">
        <v>16</v>
      </c>
      <c r="D8" s="9">
        <f t="shared" si="0"/>
        <v>16</v>
      </c>
      <c r="E8" s="9">
        <f t="shared" si="0"/>
        <v>16</v>
      </c>
      <c r="F8" s="9">
        <v>50</v>
      </c>
      <c r="G8" s="9">
        <v>13000000</v>
      </c>
      <c r="H8" s="9">
        <f>(D8/G8)</f>
        <v>1.2307692307692308E-6</v>
      </c>
      <c r="K8" s="1"/>
    </row>
    <row r="9" spans="1:11" s="2" customFormat="1" ht="17" thickBot="1" x14ac:dyDescent="0.25">
      <c r="A9" s="11" t="s">
        <v>7</v>
      </c>
      <c r="B9" s="11">
        <v>3200</v>
      </c>
      <c r="C9" s="11">
        <v>0</v>
      </c>
      <c r="D9" s="11">
        <f t="shared" si="0"/>
        <v>0</v>
      </c>
      <c r="E9" s="11">
        <f t="shared" si="0"/>
        <v>0</v>
      </c>
      <c r="F9" s="11">
        <v>0</v>
      </c>
      <c r="G9" s="11">
        <v>19000000</v>
      </c>
      <c r="H9" s="11">
        <f>(D9/G9)</f>
        <v>0</v>
      </c>
      <c r="K9" s="3"/>
    </row>
    <row r="10" spans="1:11" x14ac:dyDescent="0.2">
      <c r="A10" s="38" t="s">
        <v>10</v>
      </c>
      <c r="B10" s="38">
        <v>0</v>
      </c>
      <c r="C10" s="38">
        <v>43</v>
      </c>
      <c r="D10" s="38">
        <f t="shared" si="0"/>
        <v>42.999999999999993</v>
      </c>
      <c r="E10" s="38">
        <f t="shared" si="0"/>
        <v>42.999999999999986</v>
      </c>
      <c r="F10" s="38">
        <v>43.75</v>
      </c>
      <c r="G10" s="38">
        <v>9300000</v>
      </c>
      <c r="H10" s="38">
        <v>4.4623655913978496E-7</v>
      </c>
    </row>
    <row r="11" spans="1:11" x14ac:dyDescent="0.2">
      <c r="A11" s="9" t="s">
        <v>10</v>
      </c>
      <c r="B11" s="9">
        <v>32</v>
      </c>
      <c r="C11" s="9">
        <v>12</v>
      </c>
      <c r="D11" s="9">
        <f t="shared" si="0"/>
        <v>11.999999999999998</v>
      </c>
      <c r="E11" s="9">
        <f t="shared" si="0"/>
        <v>11.999999999999996</v>
      </c>
      <c r="F11" s="9">
        <v>16.666666666666664</v>
      </c>
      <c r="G11" s="9">
        <v>21000000</v>
      </c>
      <c r="H11" s="9">
        <f>(D11/G11)</f>
        <v>5.7142857142857139E-7</v>
      </c>
    </row>
    <row r="12" spans="1:11" x14ac:dyDescent="0.2">
      <c r="A12" s="9" t="s">
        <v>10</v>
      </c>
      <c r="B12" s="9">
        <v>320</v>
      </c>
      <c r="C12" s="9">
        <v>10</v>
      </c>
      <c r="D12" s="9">
        <f t="shared" si="0"/>
        <v>10</v>
      </c>
      <c r="E12" s="9">
        <f t="shared" si="0"/>
        <v>10</v>
      </c>
      <c r="F12" s="9">
        <v>20</v>
      </c>
      <c r="G12" s="9">
        <v>2300000</v>
      </c>
      <c r="H12" s="9">
        <f>(D12/G12)</f>
        <v>4.3478260869565214E-6</v>
      </c>
    </row>
    <row r="13" spans="1:11" s="2" customFormat="1" ht="17" thickBot="1" x14ac:dyDescent="0.25">
      <c r="A13" s="11" t="s">
        <v>10</v>
      </c>
      <c r="B13" s="11">
        <v>3200</v>
      </c>
      <c r="C13" s="11">
        <v>7</v>
      </c>
      <c r="D13" s="11">
        <f t="shared" si="0"/>
        <v>6.9999999999999991</v>
      </c>
      <c r="E13" s="11">
        <f t="shared" si="0"/>
        <v>6.9999999999999991</v>
      </c>
      <c r="F13" s="11">
        <v>0</v>
      </c>
      <c r="G13" s="11">
        <v>5200000</v>
      </c>
      <c r="H13" s="11">
        <f>(D13/G13)</f>
        <v>1.346153846153846E-6</v>
      </c>
    </row>
  </sheetData>
  <phoneticPr fontId="1" type="noConversion"/>
  <conditionalFormatting sqref="H2:H13">
    <cfRule type="cellIs" dxfId="5" priority="1" operator="equal">
      <formula>0</formula>
    </cfRule>
    <cfRule type="cellIs" dxfId="4" priority="3" operator="greaterThan">
      <formula>0.000003</formula>
    </cfRule>
    <cfRule type="cellIs" dxfId="3" priority="4" operator="greaterThan">
      <formula>0.000001</formula>
    </cfRule>
    <cfRule type="cellIs" dxfId="2" priority="5" operator="greaterThan">
      <formula>0.00000075</formula>
    </cfRule>
    <cfRule type="cellIs" dxfId="1" priority="7" stopIfTrue="1" operator="greaterThan">
      <formula>0.00000025</formula>
    </cfRule>
    <cfRule type="cellIs" dxfId="0" priority="8" operator="greaterThan">
      <formula>0.00000001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145C-82BE-5344-81A7-517578391460}">
  <dimension ref="A1:V22"/>
  <sheetViews>
    <sheetView topLeftCell="C1" workbookViewId="0">
      <selection activeCell="G18" sqref="G18"/>
    </sheetView>
  </sheetViews>
  <sheetFormatPr baseColWidth="10" defaultRowHeight="16" x14ac:dyDescent="0.2"/>
  <cols>
    <col min="1" max="1" width="26.1640625" customWidth="1"/>
    <col min="10" max="10" width="13.83203125" customWidth="1"/>
    <col min="13" max="13" width="14.1640625" customWidth="1"/>
    <col min="14" max="14" width="14.83203125" customWidth="1"/>
  </cols>
  <sheetData>
    <row r="1" spans="1:22" ht="85" x14ac:dyDescent="0.2">
      <c r="A1" s="4" t="s">
        <v>11</v>
      </c>
      <c r="B1" s="4" t="s">
        <v>12</v>
      </c>
      <c r="C1" s="4" t="s">
        <v>5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5" t="s">
        <v>34</v>
      </c>
      <c r="N1" s="5" t="s">
        <v>35</v>
      </c>
      <c r="O1" s="6" t="s">
        <v>22</v>
      </c>
      <c r="P1" s="5" t="s">
        <v>23</v>
      </c>
      <c r="Q1" s="6" t="s">
        <v>24</v>
      </c>
      <c r="R1" s="6" t="s">
        <v>25</v>
      </c>
      <c r="S1" s="6" t="s">
        <v>26</v>
      </c>
      <c r="T1" s="6" t="s">
        <v>32</v>
      </c>
      <c r="U1" s="6" t="s">
        <v>31</v>
      </c>
      <c r="V1" s="7" t="s">
        <v>36</v>
      </c>
    </row>
    <row r="2" spans="1:22" x14ac:dyDescent="0.2">
      <c r="A2" s="8" t="s">
        <v>27</v>
      </c>
      <c r="B2" s="8">
        <v>1</v>
      </c>
      <c r="C2" s="21" t="s">
        <v>28</v>
      </c>
      <c r="D2" s="22">
        <v>0</v>
      </c>
      <c r="E2" s="23">
        <v>83</v>
      </c>
      <c r="F2" s="23">
        <v>48</v>
      </c>
      <c r="G2" s="23">
        <v>44</v>
      </c>
      <c r="H2" s="23">
        <v>43</v>
      </c>
      <c r="I2" s="23">
        <v>19</v>
      </c>
      <c r="J2" s="8">
        <f>SUM(I2/F2)*100</f>
        <v>39.583333333333329</v>
      </c>
      <c r="K2" s="8">
        <f t="shared" ref="K2:K9" si="0">SUM(F2*(I2/H2))</f>
        <v>21.209302325581397</v>
      </c>
      <c r="L2" s="30">
        <v>15</v>
      </c>
      <c r="M2" s="33">
        <f>SUM(L2/F2)*100</f>
        <v>31.25</v>
      </c>
      <c r="N2" s="8">
        <f t="shared" ref="N2:N13" si="1">SUM(F2*(L2/F2))</f>
        <v>15</v>
      </c>
      <c r="O2" s="24">
        <v>12</v>
      </c>
      <c r="P2" s="24"/>
      <c r="Q2" s="24">
        <v>0</v>
      </c>
      <c r="R2" s="24">
        <v>2</v>
      </c>
      <c r="S2" s="24"/>
      <c r="T2" s="24">
        <v>0</v>
      </c>
      <c r="U2" s="24">
        <v>1</v>
      </c>
      <c r="V2" s="25">
        <f t="shared" ref="V2:V13" si="2">SUM(O2:U2)</f>
        <v>15</v>
      </c>
    </row>
    <row r="3" spans="1:22" x14ac:dyDescent="0.2">
      <c r="A3" s="9" t="s">
        <v>27</v>
      </c>
      <c r="B3" s="9">
        <v>1</v>
      </c>
      <c r="C3" s="20" t="s">
        <v>28</v>
      </c>
      <c r="D3" s="19">
        <v>32</v>
      </c>
      <c r="E3" s="17">
        <v>46</v>
      </c>
      <c r="F3" s="17">
        <v>46</v>
      </c>
      <c r="G3" s="17">
        <v>46</v>
      </c>
      <c r="H3" s="17">
        <v>46</v>
      </c>
      <c r="I3" s="17">
        <v>27</v>
      </c>
      <c r="J3" s="9">
        <f t="shared" ref="J3" si="3">SUM(I3/F3)*100</f>
        <v>58.695652173913047</v>
      </c>
      <c r="K3" s="9">
        <f t="shared" si="0"/>
        <v>27.000000000000004</v>
      </c>
      <c r="L3" s="31">
        <v>28</v>
      </c>
      <c r="M3" s="34">
        <f t="shared" ref="M3:M13" si="4">SUM(L3/F3)*100</f>
        <v>60.869565217391312</v>
      </c>
      <c r="N3" s="9">
        <f t="shared" si="1"/>
        <v>28</v>
      </c>
      <c r="O3" s="13">
        <v>5</v>
      </c>
      <c r="P3" s="13"/>
      <c r="Q3" s="13">
        <v>0</v>
      </c>
      <c r="R3" s="13">
        <v>0</v>
      </c>
      <c r="S3" s="13"/>
      <c r="T3" s="13">
        <v>7</v>
      </c>
      <c r="U3" s="13">
        <v>16</v>
      </c>
      <c r="V3" s="10">
        <f t="shared" si="2"/>
        <v>28</v>
      </c>
    </row>
    <row r="4" spans="1:22" x14ac:dyDescent="0.2">
      <c r="A4" s="9" t="s">
        <v>27</v>
      </c>
      <c r="B4" s="9">
        <v>1</v>
      </c>
      <c r="C4" s="20" t="s">
        <v>28</v>
      </c>
      <c r="D4" s="19">
        <v>320</v>
      </c>
      <c r="E4" s="17">
        <v>61</v>
      </c>
      <c r="F4" s="17">
        <v>48</v>
      </c>
      <c r="G4" s="17">
        <v>48</v>
      </c>
      <c r="H4" s="17">
        <v>44</v>
      </c>
      <c r="I4" s="17">
        <v>8</v>
      </c>
      <c r="J4" s="9">
        <f>SUM(I4/F4)*100</f>
        <v>16.666666666666664</v>
      </c>
      <c r="K4" s="9">
        <f t="shared" si="0"/>
        <v>8.7272727272727266</v>
      </c>
      <c r="L4" s="31">
        <v>8</v>
      </c>
      <c r="M4" s="34">
        <f t="shared" si="4"/>
        <v>16.666666666666664</v>
      </c>
      <c r="N4" s="9">
        <f t="shared" si="1"/>
        <v>8</v>
      </c>
      <c r="O4" s="13">
        <v>2</v>
      </c>
      <c r="P4" s="13"/>
      <c r="Q4" s="13">
        <v>1</v>
      </c>
      <c r="R4" s="13">
        <v>2</v>
      </c>
      <c r="S4" s="13"/>
      <c r="T4" s="13">
        <v>1</v>
      </c>
      <c r="U4" s="13">
        <v>2</v>
      </c>
      <c r="V4" s="10">
        <f t="shared" si="2"/>
        <v>8</v>
      </c>
    </row>
    <row r="5" spans="1:22" s="27" customFormat="1" ht="17" thickBot="1" x14ac:dyDescent="0.25">
      <c r="A5" s="11" t="s">
        <v>27</v>
      </c>
      <c r="B5" s="11">
        <v>1</v>
      </c>
      <c r="C5" s="28" t="s">
        <v>28</v>
      </c>
      <c r="D5" s="26">
        <v>3200</v>
      </c>
      <c r="E5" s="18">
        <v>6</v>
      </c>
      <c r="F5" s="18">
        <v>17</v>
      </c>
      <c r="G5" s="18">
        <v>17</v>
      </c>
      <c r="H5" s="18">
        <v>17</v>
      </c>
      <c r="I5" s="18">
        <v>5</v>
      </c>
      <c r="J5" s="11">
        <f>SUM(I5/F5)*100</f>
        <v>29.411764705882355</v>
      </c>
      <c r="K5" s="11">
        <f t="shared" si="0"/>
        <v>5</v>
      </c>
      <c r="L5" s="32">
        <v>5</v>
      </c>
      <c r="M5" s="35">
        <f t="shared" si="4"/>
        <v>29.411764705882355</v>
      </c>
      <c r="N5" s="11">
        <f t="shared" si="1"/>
        <v>5</v>
      </c>
      <c r="O5" s="14">
        <v>3</v>
      </c>
      <c r="P5" s="14"/>
      <c r="Q5" s="14">
        <v>0</v>
      </c>
      <c r="R5" s="14">
        <v>0</v>
      </c>
      <c r="S5" s="14"/>
      <c r="T5" s="14">
        <v>2</v>
      </c>
      <c r="U5" s="14">
        <v>0</v>
      </c>
      <c r="V5" s="12">
        <f t="shared" si="2"/>
        <v>5</v>
      </c>
    </row>
    <row r="6" spans="1:22" x14ac:dyDescent="0.2">
      <c r="A6" s="8" t="s">
        <v>27</v>
      </c>
      <c r="B6" s="8">
        <v>1</v>
      </c>
      <c r="C6" s="21" t="s">
        <v>29</v>
      </c>
      <c r="D6" s="22">
        <v>0</v>
      </c>
      <c r="E6" s="23">
        <v>2</v>
      </c>
      <c r="F6" s="23">
        <v>4</v>
      </c>
      <c r="G6" s="23">
        <v>4</v>
      </c>
      <c r="H6" s="23">
        <v>4</v>
      </c>
      <c r="I6" s="23">
        <v>3</v>
      </c>
      <c r="J6" s="8">
        <f t="shared" ref="J6:J13" si="5">SUM(I6/F6)*100</f>
        <v>75</v>
      </c>
      <c r="K6" s="8">
        <f t="shared" si="0"/>
        <v>3</v>
      </c>
      <c r="L6" s="30">
        <v>3</v>
      </c>
      <c r="M6" s="33">
        <f>SUM(L6/F6)*100</f>
        <v>75</v>
      </c>
      <c r="N6" s="8">
        <f t="shared" si="1"/>
        <v>3</v>
      </c>
      <c r="O6" s="29"/>
      <c r="P6" s="29"/>
      <c r="Q6" s="29">
        <v>3</v>
      </c>
      <c r="R6" s="29">
        <v>0</v>
      </c>
      <c r="S6" s="29"/>
      <c r="T6" s="29">
        <v>0</v>
      </c>
      <c r="U6" s="29">
        <v>0</v>
      </c>
      <c r="V6" s="25">
        <f t="shared" si="2"/>
        <v>3</v>
      </c>
    </row>
    <row r="7" spans="1:22" x14ac:dyDescent="0.2">
      <c r="A7" s="9" t="s">
        <v>27</v>
      </c>
      <c r="B7" s="9">
        <v>1</v>
      </c>
      <c r="C7" s="20" t="s">
        <v>29</v>
      </c>
      <c r="D7" s="19">
        <v>32</v>
      </c>
      <c r="E7" s="17">
        <v>58</v>
      </c>
      <c r="F7" s="17">
        <v>48</v>
      </c>
      <c r="G7" s="17">
        <v>36</v>
      </c>
      <c r="H7" s="17">
        <v>34</v>
      </c>
      <c r="I7" s="17">
        <v>12</v>
      </c>
      <c r="J7" s="9">
        <f t="shared" si="5"/>
        <v>25</v>
      </c>
      <c r="K7" s="9">
        <f t="shared" si="0"/>
        <v>16.941176470588236</v>
      </c>
      <c r="L7" s="31">
        <v>9</v>
      </c>
      <c r="M7" s="34">
        <f t="shared" si="4"/>
        <v>18.75</v>
      </c>
      <c r="N7" s="9">
        <f t="shared" si="1"/>
        <v>9</v>
      </c>
      <c r="O7" s="15"/>
      <c r="P7" s="15"/>
      <c r="Q7" s="15">
        <v>2</v>
      </c>
      <c r="R7" s="15">
        <v>6</v>
      </c>
      <c r="S7" s="15"/>
      <c r="T7" s="15">
        <v>0</v>
      </c>
      <c r="U7" s="15">
        <v>1</v>
      </c>
      <c r="V7" s="10">
        <f t="shared" si="2"/>
        <v>9</v>
      </c>
    </row>
    <row r="8" spans="1:22" x14ac:dyDescent="0.2">
      <c r="A8" s="9" t="s">
        <v>27</v>
      </c>
      <c r="B8" s="9">
        <v>1</v>
      </c>
      <c r="C8" s="20" t="s">
        <v>29</v>
      </c>
      <c r="D8" s="19">
        <v>320</v>
      </c>
      <c r="E8" s="17">
        <v>16</v>
      </c>
      <c r="F8" s="17">
        <v>16</v>
      </c>
      <c r="G8" s="17">
        <v>16</v>
      </c>
      <c r="H8" s="17">
        <v>16</v>
      </c>
      <c r="I8" s="17">
        <v>8</v>
      </c>
      <c r="J8" s="9">
        <f t="shared" si="5"/>
        <v>50</v>
      </c>
      <c r="K8" s="9">
        <f t="shared" si="0"/>
        <v>8</v>
      </c>
      <c r="L8" s="31">
        <v>8</v>
      </c>
      <c r="M8" s="34">
        <f t="shared" si="4"/>
        <v>50</v>
      </c>
      <c r="N8" s="9">
        <f t="shared" si="1"/>
        <v>8</v>
      </c>
      <c r="O8" s="15"/>
      <c r="P8" s="15"/>
      <c r="Q8" s="15">
        <v>0</v>
      </c>
      <c r="R8" s="15">
        <v>5</v>
      </c>
      <c r="S8" s="15"/>
      <c r="T8" s="15">
        <v>1</v>
      </c>
      <c r="U8" s="15">
        <v>2</v>
      </c>
      <c r="V8" s="10">
        <f t="shared" si="2"/>
        <v>8</v>
      </c>
    </row>
    <row r="9" spans="1:22" s="27" customFormat="1" ht="17" thickBot="1" x14ac:dyDescent="0.25">
      <c r="A9" s="11" t="s">
        <v>27</v>
      </c>
      <c r="B9" s="11">
        <v>1</v>
      </c>
      <c r="C9" s="28" t="s">
        <v>29</v>
      </c>
      <c r="D9" s="26">
        <v>3200</v>
      </c>
      <c r="E9" s="37">
        <v>0</v>
      </c>
      <c r="F9" s="18">
        <v>0</v>
      </c>
      <c r="G9" s="18">
        <v>0</v>
      </c>
      <c r="H9" s="18">
        <v>0</v>
      </c>
      <c r="I9" s="18">
        <v>0</v>
      </c>
      <c r="J9" s="11" t="s">
        <v>8</v>
      </c>
      <c r="K9" s="11" t="e">
        <f t="shared" si="0"/>
        <v>#DIV/0!</v>
      </c>
      <c r="L9" s="32">
        <v>0</v>
      </c>
      <c r="M9" s="35">
        <v>0</v>
      </c>
      <c r="N9" s="11" t="e">
        <f t="shared" si="1"/>
        <v>#DIV/0!</v>
      </c>
      <c r="O9" s="16"/>
      <c r="P9" s="16"/>
      <c r="Q9" s="16">
        <v>0</v>
      </c>
      <c r="R9" s="16">
        <v>0</v>
      </c>
      <c r="S9" s="16"/>
      <c r="T9" s="16">
        <v>0</v>
      </c>
      <c r="U9" s="16">
        <v>0</v>
      </c>
      <c r="V9" s="12">
        <f t="shared" si="2"/>
        <v>0</v>
      </c>
    </row>
    <row r="10" spans="1:22" x14ac:dyDescent="0.2">
      <c r="A10" s="8" t="s">
        <v>27</v>
      </c>
      <c r="B10" s="8">
        <v>1</v>
      </c>
      <c r="C10" s="21" t="s">
        <v>30</v>
      </c>
      <c r="D10" s="22">
        <v>0</v>
      </c>
      <c r="E10" s="17">
        <v>43</v>
      </c>
      <c r="F10" s="23">
        <v>48</v>
      </c>
      <c r="G10" s="23">
        <v>39</v>
      </c>
      <c r="H10" s="23">
        <v>35</v>
      </c>
      <c r="I10" s="23">
        <v>20</v>
      </c>
      <c r="J10" s="8">
        <f t="shared" si="5"/>
        <v>41.666666666666671</v>
      </c>
      <c r="K10" s="8">
        <f t="shared" ref="K10:K13" si="6">SUM(F10*(I10/H10))</f>
        <v>27.428571428571427</v>
      </c>
      <c r="L10" s="30">
        <v>21</v>
      </c>
      <c r="M10" s="33">
        <f>SUM(L10/F10)*100</f>
        <v>43.75</v>
      </c>
      <c r="N10" s="8">
        <f t="shared" si="1"/>
        <v>21</v>
      </c>
      <c r="O10" s="29">
        <v>1</v>
      </c>
      <c r="P10" s="29"/>
      <c r="Q10" s="29">
        <v>3</v>
      </c>
      <c r="R10" s="29">
        <v>17</v>
      </c>
      <c r="S10" s="29"/>
      <c r="T10" s="29">
        <v>0</v>
      </c>
      <c r="U10" s="29"/>
      <c r="V10" s="25">
        <f t="shared" si="2"/>
        <v>21</v>
      </c>
    </row>
    <row r="11" spans="1:22" x14ac:dyDescent="0.2">
      <c r="A11" s="9" t="s">
        <v>27</v>
      </c>
      <c r="B11" s="9">
        <v>1</v>
      </c>
      <c r="C11" s="20" t="s">
        <v>30</v>
      </c>
      <c r="D11" s="19">
        <v>32</v>
      </c>
      <c r="E11" s="9">
        <v>12</v>
      </c>
      <c r="F11" s="17">
        <v>12</v>
      </c>
      <c r="G11" s="17">
        <v>12</v>
      </c>
      <c r="H11" s="17">
        <v>12</v>
      </c>
      <c r="I11" s="17">
        <v>2</v>
      </c>
      <c r="J11" s="9">
        <f t="shared" si="5"/>
        <v>16.666666666666664</v>
      </c>
      <c r="K11" s="9">
        <f t="shared" si="6"/>
        <v>2</v>
      </c>
      <c r="L11" s="31">
        <v>2</v>
      </c>
      <c r="M11" s="34">
        <f t="shared" si="4"/>
        <v>16.666666666666664</v>
      </c>
      <c r="N11" s="9">
        <f t="shared" si="1"/>
        <v>2</v>
      </c>
      <c r="O11" s="15">
        <v>2</v>
      </c>
      <c r="P11" s="15"/>
      <c r="Q11" s="15">
        <v>0</v>
      </c>
      <c r="R11" s="15">
        <v>0</v>
      </c>
      <c r="S11" s="15"/>
      <c r="T11" s="15">
        <v>0</v>
      </c>
      <c r="U11" s="15"/>
      <c r="V11" s="10">
        <f t="shared" si="2"/>
        <v>2</v>
      </c>
    </row>
    <row r="12" spans="1:22" x14ac:dyDescent="0.2">
      <c r="A12" s="9" t="s">
        <v>27</v>
      </c>
      <c r="B12" s="9">
        <v>1</v>
      </c>
      <c r="C12" s="20" t="s">
        <v>30</v>
      </c>
      <c r="D12" s="19">
        <v>320</v>
      </c>
      <c r="E12" s="9">
        <v>10</v>
      </c>
      <c r="F12" s="17">
        <v>10</v>
      </c>
      <c r="G12" s="17">
        <v>10</v>
      </c>
      <c r="H12" s="17">
        <v>10</v>
      </c>
      <c r="I12" s="17">
        <v>2</v>
      </c>
      <c r="J12" s="9">
        <f t="shared" si="5"/>
        <v>20</v>
      </c>
      <c r="K12" s="9">
        <f t="shared" si="6"/>
        <v>2</v>
      </c>
      <c r="L12" s="31">
        <v>2</v>
      </c>
      <c r="M12" s="34">
        <f t="shared" si="4"/>
        <v>20</v>
      </c>
      <c r="N12" s="9">
        <f t="shared" si="1"/>
        <v>2</v>
      </c>
      <c r="O12" s="15">
        <v>0</v>
      </c>
      <c r="P12" s="15"/>
      <c r="Q12" s="15">
        <v>0</v>
      </c>
      <c r="R12" s="15">
        <v>0</v>
      </c>
      <c r="S12" s="15"/>
      <c r="T12" s="15">
        <v>2</v>
      </c>
      <c r="U12" s="15"/>
      <c r="V12" s="10">
        <f t="shared" si="2"/>
        <v>2</v>
      </c>
    </row>
    <row r="13" spans="1:22" s="27" customFormat="1" ht="17" thickBot="1" x14ac:dyDescent="0.25">
      <c r="A13" s="11" t="s">
        <v>27</v>
      </c>
      <c r="B13" s="11">
        <v>1</v>
      </c>
      <c r="C13" s="28" t="s">
        <v>30</v>
      </c>
      <c r="D13" s="26">
        <v>3200</v>
      </c>
      <c r="E13" s="9">
        <v>7</v>
      </c>
      <c r="F13" s="18">
        <v>7</v>
      </c>
      <c r="G13" s="18">
        <v>7</v>
      </c>
      <c r="H13" s="18">
        <v>7</v>
      </c>
      <c r="I13" s="18">
        <v>0</v>
      </c>
      <c r="J13" s="11">
        <f t="shared" si="5"/>
        <v>0</v>
      </c>
      <c r="K13" s="11">
        <f t="shared" si="6"/>
        <v>0</v>
      </c>
      <c r="L13" s="32">
        <v>0</v>
      </c>
      <c r="M13" s="35">
        <f t="shared" si="4"/>
        <v>0</v>
      </c>
      <c r="N13" s="11">
        <f t="shared" si="1"/>
        <v>0</v>
      </c>
      <c r="O13" s="16">
        <v>0</v>
      </c>
      <c r="P13" s="16"/>
      <c r="Q13" s="16">
        <v>0</v>
      </c>
      <c r="R13" s="16">
        <v>0</v>
      </c>
      <c r="S13" s="16"/>
      <c r="T13" s="16">
        <v>0</v>
      </c>
      <c r="U13" s="16"/>
      <c r="V13" s="12">
        <f t="shared" si="2"/>
        <v>0</v>
      </c>
    </row>
    <row r="17" spans="13:14" x14ac:dyDescent="0.2">
      <c r="M17" s="36"/>
      <c r="N17" s="36"/>
    </row>
    <row r="18" spans="13:14" x14ac:dyDescent="0.2">
      <c r="M18" s="36"/>
      <c r="N18" s="36"/>
    </row>
    <row r="19" spans="13:14" x14ac:dyDescent="0.2">
      <c r="M19" s="36"/>
      <c r="N19" s="36"/>
    </row>
    <row r="20" spans="13:14" x14ac:dyDescent="0.2">
      <c r="M20" s="36"/>
      <c r="N20" s="36"/>
    </row>
    <row r="22" spans="13:14" x14ac:dyDescent="0.2">
      <c r="M22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Goodman</dc:creator>
  <cp:lastModifiedBy>Richard Goodman</cp:lastModifiedBy>
  <dcterms:created xsi:type="dcterms:W3CDTF">2025-11-17T14:54:32Z</dcterms:created>
  <dcterms:modified xsi:type="dcterms:W3CDTF">2026-07-21T14:45:56Z</dcterms:modified>
</cp:coreProperties>
</file>