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.goodman/Library/CloudStorage/OneDrive-LSTM/Manuscripts for Papers/STRESST - Effect of PNEC concentrations of CTX on pBACpAK MGE capture /submission/"/>
    </mc:Choice>
  </mc:AlternateContent>
  <xr:revisionPtr revIDLastSave="0" documentId="13_ncr:1_{7F4F4878-C15D-BD4D-B1F8-F53497C6F97D}" xr6:coauthVersionLast="47" xr6:coauthVersionMax="47" xr10:uidLastSave="{00000000-0000-0000-0000-000000000000}"/>
  <bookViews>
    <workbookView xWindow="3160" yWindow="1900" windowWidth="30300" windowHeight="15440" xr2:uid="{CE885985-FB21-164A-B7A8-9B4ECD8F9A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L4" i="2" s="1"/>
  <c r="M4" i="2" s="1"/>
  <c r="U5" i="2"/>
  <c r="U6" i="2"/>
  <c r="U7" i="2"/>
  <c r="U8" i="2"/>
  <c r="U9" i="2"/>
  <c r="L9" i="2" s="1"/>
  <c r="N9" i="2" s="1"/>
  <c r="U10" i="2"/>
  <c r="U11" i="2"/>
  <c r="L11" i="2" s="1"/>
  <c r="U12" i="2"/>
  <c r="L12" i="2" s="1"/>
  <c r="N12" i="2" s="1"/>
  <c r="U13" i="2"/>
  <c r="U2" i="2"/>
  <c r="L3" i="2"/>
  <c r="L5" i="2"/>
  <c r="M5" i="2" s="1"/>
  <c r="L6" i="2"/>
  <c r="N6" i="2" s="1"/>
  <c r="L7" i="2"/>
  <c r="N7" i="2" s="1"/>
  <c r="L8" i="2"/>
  <c r="N8" i="2" s="1"/>
  <c r="L10" i="2"/>
  <c r="N10" i="2" s="1"/>
  <c r="L13" i="2"/>
  <c r="L2" i="2"/>
  <c r="N2" i="2" s="1"/>
  <c r="F3" i="1"/>
  <c r="D2" i="1"/>
  <c r="F2" i="1" s="1"/>
  <c r="N3" i="2"/>
  <c r="N13" i="2"/>
  <c r="K3" i="2"/>
  <c r="K4" i="2"/>
  <c r="K5" i="2"/>
  <c r="K6" i="2"/>
  <c r="K7" i="2"/>
  <c r="K8" i="2"/>
  <c r="K9" i="2"/>
  <c r="K10" i="2"/>
  <c r="K11" i="2"/>
  <c r="K12" i="2"/>
  <c r="K13" i="2"/>
  <c r="K2" i="2"/>
  <c r="J2" i="2"/>
  <c r="M3" i="2"/>
  <c r="M13" i="2"/>
  <c r="J13" i="2"/>
  <c r="J12" i="2"/>
  <c r="J11" i="2"/>
  <c r="J10" i="2"/>
  <c r="D13" i="1"/>
  <c r="F13" i="1" s="1"/>
  <c r="D12" i="1"/>
  <c r="F12" i="1" s="1"/>
  <c r="D11" i="1"/>
  <c r="F11" i="1" s="1"/>
  <c r="D10" i="1"/>
  <c r="F10" i="1" s="1"/>
  <c r="J9" i="2"/>
  <c r="J8" i="2"/>
  <c r="J7" i="2"/>
  <c r="J6" i="2"/>
  <c r="J5" i="2"/>
  <c r="J4" i="2"/>
  <c r="J3" i="2"/>
  <c r="D9" i="1"/>
  <c r="F9" i="1" s="1"/>
  <c r="D8" i="1"/>
  <c r="F8" i="1" s="1"/>
  <c r="D7" i="1"/>
  <c r="F7" i="1" s="1"/>
  <c r="D6" i="1"/>
  <c r="F6" i="1" s="1"/>
  <c r="D5" i="1"/>
  <c r="F5" i="1" s="1"/>
  <c r="D4" i="1"/>
  <c r="F4" i="1" s="1"/>
  <c r="H5" i="1" l="1"/>
  <c r="H10" i="1"/>
  <c r="N5" i="2"/>
  <c r="N4" i="2"/>
  <c r="M12" i="2"/>
  <c r="M10" i="2"/>
  <c r="M9" i="2"/>
  <c r="M8" i="2"/>
  <c r="M7" i="2"/>
  <c r="M6" i="2"/>
  <c r="M2" i="2"/>
  <c r="H12" i="1"/>
  <c r="H11" i="1"/>
  <c r="H13" i="1"/>
  <c r="M11" i="2"/>
  <c r="N11" i="2"/>
  <c r="H4" i="1"/>
  <c r="H2" i="1"/>
  <c r="H9" i="1"/>
  <c r="H8" i="1"/>
  <c r="H7" i="1"/>
  <c r="H6" i="1"/>
  <c r="H3" i="1"/>
</calcChain>
</file>

<file path=xl/sharedStrings.xml><?xml version="1.0" encoding="utf-8"?>
<sst xmlns="http://schemas.openxmlformats.org/spreadsheetml/2006/main" count="53" uniqueCount="32">
  <si>
    <t>Assay</t>
  </si>
  <si>
    <t>Concentration</t>
  </si>
  <si>
    <t>10x_colonies_T</t>
  </si>
  <si>
    <t>CFU_ml_T</t>
  </si>
  <si>
    <t>CFU_ml_TT</t>
  </si>
  <si>
    <t>CFU_ml_N</t>
  </si>
  <si>
    <t>Freq</t>
  </si>
  <si>
    <t>Replicon_system_name</t>
  </si>
  <si>
    <t>Replicon_system_num</t>
  </si>
  <si>
    <t>concentration</t>
  </si>
  <si>
    <t xml:space="preserve">Total number counted on TET plate </t>
  </si>
  <si>
    <t xml:space="preserve">Total number isolated from TET plate </t>
  </si>
  <si>
    <t>Transposants subcultured on plate</t>
  </si>
  <si>
    <t xml:space="preserve">Transposants subcultured in broth </t>
  </si>
  <si>
    <t>Transposants confirmed by PCR</t>
  </si>
  <si>
    <t>True Transposant percentages (PCR)</t>
  </si>
  <si>
    <t>True Transposant number (PCR)</t>
  </si>
  <si>
    <t>Transposants confirmed by sequencing</t>
  </si>
  <si>
    <t>IS10R</t>
  </si>
  <si>
    <t>Tn1000</t>
  </si>
  <si>
    <t>Tn2</t>
  </si>
  <si>
    <t>ISKpn25</t>
  </si>
  <si>
    <t>IS186B</t>
  </si>
  <si>
    <t xml:space="preserve">DH5a_pBACpAK-COL_pD25466 </t>
  </si>
  <si>
    <t>All insertions</t>
  </si>
  <si>
    <t>True Transposant percentages (seq)</t>
  </si>
  <si>
    <t>True Transposant number (seq)</t>
  </si>
  <si>
    <t>IS1A</t>
  </si>
  <si>
    <t>TT_pc</t>
  </si>
  <si>
    <t>RS2.4</t>
  </si>
  <si>
    <t>RS2.5</t>
  </si>
  <si>
    <t>RS2.6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</si>
</sst>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indexed="64"/>
      </bottom>
      <diagonal/>
    </border>
    <border>
      <left style="medium">
        <color rgb="FF000000"/>
      </left>
      <right/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2" fillId="2" borderId="5" xfId="0" applyFont="1" applyFill="1" applyBorder="1" applyAlignment="1">
      <alignment horizontal="center" wrapText="1" readingOrder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2" borderId="9" xfId="0" applyFont="1" applyFill="1" applyBorder="1" applyAlignment="1">
      <alignment horizontal="center" wrapText="1" readingOrder="1"/>
    </xf>
    <xf numFmtId="0" fontId="0" fillId="0" borderId="10" xfId="0" applyBorder="1"/>
    <xf numFmtId="0" fontId="4" fillId="0" borderId="7" xfId="0" applyFont="1" applyBorder="1" applyAlignment="1">
      <alignment horizontal="right" wrapText="1" readingOrder="1"/>
    </xf>
    <xf numFmtId="0" fontId="0" fillId="0" borderId="11" xfId="0" applyBorder="1"/>
    <xf numFmtId="0" fontId="2" fillId="2" borderId="12" xfId="0" applyFont="1" applyFill="1" applyBorder="1" applyAlignment="1">
      <alignment horizontal="center" wrapText="1" readingOrder="1"/>
    </xf>
    <xf numFmtId="0" fontId="2" fillId="2" borderId="7" xfId="0" applyFont="1" applyFill="1" applyBorder="1" applyAlignment="1">
      <alignment horizontal="center" wrapText="1" readingOrder="1"/>
    </xf>
    <xf numFmtId="0" fontId="2" fillId="2" borderId="8" xfId="0" applyFont="1" applyFill="1" applyBorder="1" applyAlignment="1">
      <alignment horizontal="center" wrapText="1" readingOrder="1"/>
    </xf>
    <xf numFmtId="0" fontId="0" fillId="0" borderId="13" xfId="0" applyBorder="1"/>
    <xf numFmtId="0" fontId="3" fillId="2" borderId="15" xfId="0" applyFont="1" applyFill="1" applyBorder="1" applyAlignment="1">
      <alignment horizontal="center" wrapText="1" readingOrder="1"/>
    </xf>
    <xf numFmtId="0" fontId="4" fillId="0" borderId="13" xfId="0" applyFont="1" applyBorder="1" applyAlignment="1">
      <alignment horizontal="right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3" xfId="0" applyFont="1" applyFill="1" applyBorder="1" applyAlignment="1">
      <alignment horizontal="center" wrapText="1" readingOrder="1"/>
    </xf>
    <xf numFmtId="0" fontId="2" fillId="2" borderId="14" xfId="0" applyFont="1" applyFill="1" applyBorder="1" applyAlignment="1">
      <alignment horizontal="center" wrapText="1" readingOrder="1"/>
    </xf>
    <xf numFmtId="0" fontId="0" fillId="0" borderId="17" xfId="0" applyBorder="1"/>
    <xf numFmtId="0" fontId="0" fillId="0" borderId="18" xfId="0" applyBorder="1"/>
    <xf numFmtId="0" fontId="3" fillId="2" borderId="20" xfId="0" applyFont="1" applyFill="1" applyBorder="1" applyAlignment="1">
      <alignment horizontal="center" wrapText="1" readingOrder="1"/>
    </xf>
    <xf numFmtId="0" fontId="4" fillId="0" borderId="18" xfId="0" applyFont="1" applyBorder="1" applyAlignment="1">
      <alignment horizontal="right" wrapText="1" readingOrder="1"/>
    </xf>
    <xf numFmtId="0" fontId="2" fillId="2" borderId="21" xfId="0" applyFont="1" applyFill="1" applyBorder="1" applyAlignment="1">
      <alignment horizontal="center" wrapText="1" readingOrder="1"/>
    </xf>
    <xf numFmtId="0" fontId="2" fillId="2" borderId="18" xfId="0" applyFont="1" applyFill="1" applyBorder="1" applyAlignment="1">
      <alignment horizontal="center" wrapText="1" readingOrder="1"/>
    </xf>
    <xf numFmtId="0" fontId="2" fillId="2" borderId="19" xfId="0" applyFont="1" applyFill="1" applyBorder="1" applyAlignment="1">
      <alignment horizontal="center" wrapText="1" readingOrder="1"/>
    </xf>
    <xf numFmtId="0" fontId="4" fillId="2" borderId="16" xfId="0" applyFont="1" applyFill="1" applyBorder="1" applyAlignment="1">
      <alignment horizontal="center" wrapText="1" readingOrder="1"/>
    </xf>
    <xf numFmtId="0" fontId="4" fillId="2" borderId="13" xfId="0" applyFont="1" applyFill="1" applyBorder="1" applyAlignment="1">
      <alignment horizontal="center" wrapText="1" readingOrder="1"/>
    </xf>
    <xf numFmtId="0" fontId="4" fillId="2" borderId="14" xfId="0" applyFont="1" applyFill="1" applyBorder="1" applyAlignment="1">
      <alignment horizontal="center" wrapText="1" readingOrder="1"/>
    </xf>
    <xf numFmtId="0" fontId="4" fillId="2" borderId="21" xfId="0" applyFont="1" applyFill="1" applyBorder="1" applyAlignment="1">
      <alignment horizontal="center" wrapText="1" readingOrder="1"/>
    </xf>
    <xf numFmtId="0" fontId="4" fillId="2" borderId="18" xfId="0" applyFont="1" applyFill="1" applyBorder="1" applyAlignment="1">
      <alignment horizontal="center" wrapText="1" readingOrder="1"/>
    </xf>
    <xf numFmtId="0" fontId="4" fillId="2" borderId="19" xfId="0" applyFont="1" applyFill="1" applyBorder="1" applyAlignment="1">
      <alignment horizontal="center" wrapText="1" readingOrder="1"/>
    </xf>
    <xf numFmtId="0" fontId="0" fillId="0" borderId="22" xfId="0" applyBorder="1"/>
    <xf numFmtId="0" fontId="0" fillId="0" borderId="23" xfId="0" applyBorder="1"/>
    <xf numFmtId="0" fontId="3" fillId="2" borderId="24" xfId="0" applyFont="1" applyFill="1" applyBorder="1" applyAlignment="1">
      <alignment horizontal="center" wrapText="1" readingOrder="1"/>
    </xf>
    <xf numFmtId="0" fontId="4" fillId="2" borderId="25" xfId="0" applyFont="1" applyFill="1" applyBorder="1" applyAlignment="1">
      <alignment horizontal="center" wrapText="1" readingOrder="1"/>
    </xf>
    <xf numFmtId="0" fontId="4" fillId="2" borderId="11" xfId="0" applyFont="1" applyFill="1" applyBorder="1" applyAlignment="1">
      <alignment horizontal="center" wrapText="1" readingOrder="1"/>
    </xf>
    <xf numFmtId="0" fontId="4" fillId="2" borderId="22" xfId="0" applyFont="1" applyFill="1" applyBorder="1" applyAlignment="1">
      <alignment horizontal="center" wrapText="1" readingOrder="1"/>
    </xf>
    <xf numFmtId="0" fontId="0" fillId="0" borderId="26" xfId="0" applyBorder="1"/>
    <xf numFmtId="0" fontId="2" fillId="0" borderId="7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right" vertical="center" wrapText="1" readingOrder="1"/>
    </xf>
    <xf numFmtId="0" fontId="2" fillId="0" borderId="18" xfId="0" applyFont="1" applyBorder="1" applyAlignment="1">
      <alignment horizontal="center" vertical="center" wrapText="1" readingOrder="1"/>
    </xf>
    <xf numFmtId="0" fontId="0" fillId="0" borderId="2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4" xfId="0" applyBorder="1"/>
    <xf numFmtId="0" fontId="0" fillId="0" borderId="25" xfId="0" applyBorder="1"/>
    <xf numFmtId="0" fontId="5" fillId="0" borderId="13" xfId="0" applyFont="1" applyBorder="1" applyAlignment="1">
      <alignment horizontal="center" wrapText="1" readingOrder="1"/>
    </xf>
    <xf numFmtId="0" fontId="5" fillId="0" borderId="11" xfId="0" applyFont="1" applyBorder="1" applyAlignment="1">
      <alignment horizontal="center" wrapText="1" readingOrder="1"/>
    </xf>
    <xf numFmtId="0" fontId="0" fillId="0" borderId="19" xfId="0" applyBorder="1"/>
    <xf numFmtId="0" fontId="5" fillId="0" borderId="18" xfId="0" applyFont="1" applyBorder="1" applyAlignment="1">
      <alignment horizontal="center" wrapText="1" readingOrder="1"/>
    </xf>
    <xf numFmtId="0" fontId="0" fillId="0" borderId="21" xfId="0" applyBorder="1"/>
    <xf numFmtId="0" fontId="0" fillId="0" borderId="16" xfId="0" applyBorder="1"/>
    <xf numFmtId="0" fontId="0" fillId="0" borderId="27" xfId="0" applyBorder="1"/>
    <xf numFmtId="0" fontId="2" fillId="2" borderId="11" xfId="0" applyFont="1" applyFill="1" applyBorder="1" applyAlignment="1">
      <alignment horizontal="center" wrapText="1" readingOrder="1"/>
    </xf>
  </cellXfs>
  <cellStyles count="1">
    <cellStyle name="Normal" xfId="0" builtinId="0"/>
  </cellStyles>
  <dxfs count="7"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F03E-E55F-E44B-B693-CE4E3C9EF459}">
  <dimension ref="A1:H13"/>
  <sheetViews>
    <sheetView tabSelected="1" workbookViewId="0">
      <selection activeCell="C14" sqref="C14"/>
    </sheetView>
  </sheetViews>
  <sheetFormatPr baseColWidth="10" defaultRowHeight="16" x14ac:dyDescent="0.2"/>
  <cols>
    <col min="2" max="2" width="13.5" customWidth="1"/>
    <col min="3" max="3" width="16.5" customWidth="1"/>
    <col min="4" max="5" width="16.83203125" customWidth="1"/>
    <col min="6" max="6" width="14.33203125" customWidth="1"/>
    <col min="7" max="7" width="13.33203125" customWidth="1"/>
    <col min="8" max="8" width="8.6640625" customWidth="1"/>
  </cols>
  <sheetData>
    <row r="1" spans="1:8" ht="17" thickBo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28</v>
      </c>
      <c r="F1" s="24" t="s">
        <v>4</v>
      </c>
      <c r="G1" s="24" t="s">
        <v>5</v>
      </c>
      <c r="H1" s="24" t="s">
        <v>6</v>
      </c>
    </row>
    <row r="2" spans="1:8" x14ac:dyDescent="0.2">
      <c r="A2" s="8" t="s">
        <v>29</v>
      </c>
      <c r="B2" s="8">
        <v>0</v>
      </c>
      <c r="C2" s="8">
        <v>48</v>
      </c>
      <c r="D2" s="8">
        <f>(C2/10)/0.1</f>
        <v>47.999999999999993</v>
      </c>
      <c r="E2" s="8">
        <v>12.5</v>
      </c>
      <c r="F2" s="8">
        <f t="shared" ref="F2:F13" si="0">SUM(D2*(E2/100))</f>
        <v>5.9999999999999991</v>
      </c>
      <c r="G2" s="8">
        <v>34600000</v>
      </c>
      <c r="H2" s="8">
        <f>(D2/G2)</f>
        <v>1.3872832369942195E-6</v>
      </c>
    </row>
    <row r="3" spans="1:8" x14ac:dyDescent="0.2">
      <c r="A3" s="17" t="s">
        <v>29</v>
      </c>
      <c r="B3" s="17">
        <v>32</v>
      </c>
      <c r="C3" s="17">
        <v>38</v>
      </c>
      <c r="D3" s="17">
        <v>38</v>
      </c>
      <c r="E3" s="17">
        <v>15.789473684210526</v>
      </c>
      <c r="F3" s="17">
        <f t="shared" si="0"/>
        <v>6</v>
      </c>
      <c r="G3" s="17">
        <v>12900000</v>
      </c>
      <c r="H3" s="17">
        <f>(D3/G3)</f>
        <v>2.9457364341085272E-6</v>
      </c>
    </row>
    <row r="4" spans="1:8" x14ac:dyDescent="0.2">
      <c r="A4" s="17" t="s">
        <v>29</v>
      </c>
      <c r="B4" s="17">
        <v>320</v>
      </c>
      <c r="C4" s="17">
        <v>84</v>
      </c>
      <c r="D4" s="17">
        <f t="shared" ref="D4:D13" si="1">(C4/10)/0.1</f>
        <v>84</v>
      </c>
      <c r="E4" s="17">
        <v>10.714285714285714</v>
      </c>
      <c r="F4" s="17">
        <f t="shared" si="0"/>
        <v>9</v>
      </c>
      <c r="G4" s="17">
        <v>22900000</v>
      </c>
      <c r="H4" s="17">
        <f>(D4/G4)</f>
        <v>3.6681222707423581E-6</v>
      </c>
    </row>
    <row r="5" spans="1:8" ht="17" thickBot="1" x14ac:dyDescent="0.25">
      <c r="A5" s="24" t="s">
        <v>29</v>
      </c>
      <c r="B5" s="24">
        <v>3200</v>
      </c>
      <c r="C5" s="24">
        <v>48</v>
      </c>
      <c r="D5" s="24">
        <f t="shared" si="1"/>
        <v>47.999999999999993</v>
      </c>
      <c r="E5" s="24">
        <v>20.833333333333336</v>
      </c>
      <c r="F5" s="24">
        <f t="shared" si="0"/>
        <v>10</v>
      </c>
      <c r="G5" s="24">
        <v>11200000</v>
      </c>
      <c r="H5" s="24">
        <f>(D5/G5)</f>
        <v>4.2857142857142855E-6</v>
      </c>
    </row>
    <row r="6" spans="1:8" x14ac:dyDescent="0.2">
      <c r="A6" s="8" t="s">
        <v>30</v>
      </c>
      <c r="B6" s="8">
        <v>0</v>
      </c>
      <c r="C6" s="8">
        <v>86</v>
      </c>
      <c r="D6" s="8">
        <f t="shared" si="1"/>
        <v>85.999999999999986</v>
      </c>
      <c r="E6" s="8">
        <v>4.6511627906976747</v>
      </c>
      <c r="F6" s="8">
        <f t="shared" si="0"/>
        <v>3.9999999999999991</v>
      </c>
      <c r="G6" s="8">
        <v>40900000</v>
      </c>
      <c r="H6" s="8">
        <f>(D6/G6)</f>
        <v>2.102689486552567E-6</v>
      </c>
    </row>
    <row r="7" spans="1:8" x14ac:dyDescent="0.2">
      <c r="A7" s="17" t="s">
        <v>30</v>
      </c>
      <c r="B7" s="17">
        <v>32</v>
      </c>
      <c r="C7" s="17">
        <v>77</v>
      </c>
      <c r="D7" s="17">
        <f t="shared" si="1"/>
        <v>77</v>
      </c>
      <c r="E7" s="17">
        <v>3.8961038961038961</v>
      </c>
      <c r="F7" s="17">
        <f t="shared" si="0"/>
        <v>3</v>
      </c>
      <c r="G7" s="17">
        <v>41000000</v>
      </c>
      <c r="H7" s="17">
        <f>(D7/G7)</f>
        <v>1.8780487804878048E-6</v>
      </c>
    </row>
    <row r="8" spans="1:8" x14ac:dyDescent="0.2">
      <c r="A8" s="17" t="s">
        <v>30</v>
      </c>
      <c r="B8" s="17">
        <v>320</v>
      </c>
      <c r="C8" s="17">
        <v>313</v>
      </c>
      <c r="D8" s="17">
        <f t="shared" si="1"/>
        <v>313</v>
      </c>
      <c r="E8" s="17">
        <v>1.5974440894568689</v>
      </c>
      <c r="F8" s="17">
        <f t="shared" si="0"/>
        <v>5</v>
      </c>
      <c r="G8" s="17">
        <v>28300000</v>
      </c>
      <c r="H8" s="17">
        <f>(D8/G8)</f>
        <v>1.1060070671378091E-5</v>
      </c>
    </row>
    <row r="9" spans="1:8" ht="17" thickBot="1" x14ac:dyDescent="0.25">
      <c r="A9" s="24" t="s">
        <v>30</v>
      </c>
      <c r="B9" s="24">
        <v>3200</v>
      </c>
      <c r="C9" s="24">
        <v>89</v>
      </c>
      <c r="D9" s="24">
        <f t="shared" si="1"/>
        <v>89</v>
      </c>
      <c r="E9" s="24">
        <v>6.7415730337078648</v>
      </c>
      <c r="F9" s="24">
        <f t="shared" si="0"/>
        <v>6</v>
      </c>
      <c r="G9" s="24">
        <v>26600000</v>
      </c>
      <c r="H9" s="24">
        <f>(D9/G9)</f>
        <v>3.3458646616541352E-6</v>
      </c>
    </row>
    <row r="10" spans="1:8" x14ac:dyDescent="0.2">
      <c r="A10" s="8" t="s">
        <v>31</v>
      </c>
      <c r="B10" s="8">
        <v>0</v>
      </c>
      <c r="C10" s="8">
        <v>144</v>
      </c>
      <c r="D10" s="8">
        <f t="shared" si="1"/>
        <v>144</v>
      </c>
      <c r="E10" s="8">
        <v>0</v>
      </c>
      <c r="F10" s="8">
        <f t="shared" si="0"/>
        <v>0</v>
      </c>
      <c r="G10" s="8">
        <v>52000000</v>
      </c>
      <c r="H10" s="8">
        <f>(D10/G10)</f>
        <v>2.7692307692307693E-6</v>
      </c>
    </row>
    <row r="11" spans="1:8" x14ac:dyDescent="0.2">
      <c r="A11" s="17" t="s">
        <v>31</v>
      </c>
      <c r="B11" s="17">
        <v>32</v>
      </c>
      <c r="C11" s="17">
        <v>194</v>
      </c>
      <c r="D11" s="17">
        <f t="shared" si="1"/>
        <v>193.99999999999997</v>
      </c>
      <c r="E11" s="17">
        <v>2.0618556701030926</v>
      </c>
      <c r="F11" s="17">
        <f t="shared" si="0"/>
        <v>3.9999999999999987</v>
      </c>
      <c r="G11" s="17">
        <v>63000000</v>
      </c>
      <c r="H11" s="17">
        <f>(D11/G11)</f>
        <v>3.079365079365079E-6</v>
      </c>
    </row>
    <row r="12" spans="1:8" x14ac:dyDescent="0.2">
      <c r="A12" s="17" t="s">
        <v>31</v>
      </c>
      <c r="B12" s="17">
        <v>320</v>
      </c>
      <c r="C12" s="17">
        <v>117</v>
      </c>
      <c r="D12" s="17">
        <f t="shared" si="1"/>
        <v>116.99999999999999</v>
      </c>
      <c r="E12" s="17">
        <v>1.7094017094017095</v>
      </c>
      <c r="F12" s="17">
        <f t="shared" si="0"/>
        <v>2</v>
      </c>
      <c r="G12" s="17">
        <v>14600000</v>
      </c>
      <c r="H12" s="17">
        <f>(D12/G12)</f>
        <v>8.0136986301369851E-6</v>
      </c>
    </row>
    <row r="13" spans="1:8" ht="17" thickBot="1" x14ac:dyDescent="0.25">
      <c r="A13" s="24" t="s">
        <v>31</v>
      </c>
      <c r="B13" s="24">
        <v>3200</v>
      </c>
      <c r="C13" s="24">
        <v>101</v>
      </c>
      <c r="D13" s="24">
        <f t="shared" si="1"/>
        <v>100.99999999999999</v>
      </c>
      <c r="E13" s="24">
        <v>5.9405940594059405</v>
      </c>
      <c r="F13" s="24">
        <f t="shared" si="0"/>
        <v>5.9999999999999991</v>
      </c>
      <c r="G13" s="24">
        <v>6800000</v>
      </c>
      <c r="H13" s="24">
        <f>(D13/G13)</f>
        <v>1.4852941176470587E-5</v>
      </c>
    </row>
  </sheetData>
  <phoneticPr fontId="1" type="noConversion"/>
  <conditionalFormatting sqref="H2:H13">
    <cfRule type="cellIs" dxfId="6" priority="1" operator="equal">
      <formula>0</formula>
    </cfRule>
    <cfRule type="cellIs" dxfId="5" priority="3" operator="greaterThan">
      <formula>0.000003</formula>
    </cfRule>
    <cfRule type="cellIs" dxfId="4" priority="4" operator="greaterThan">
      <formula>0.000001</formula>
    </cfRule>
    <cfRule type="cellIs" dxfId="3" priority="5" operator="greaterThan">
      <formula>0.00000075</formula>
    </cfRule>
    <cfRule type="cellIs" dxfId="2" priority="6" stopIfTrue="1" operator="greaterThan">
      <formula>0.00000025</formula>
    </cfRule>
    <cfRule type="cellIs" dxfId="1" priority="7" operator="greaterThan">
      <formula>0.00000001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3F86-4014-A640-8FF2-6C6A54CB640C}">
  <sheetPr>
    <pageSetUpPr fitToPage="1"/>
  </sheetPr>
  <dimension ref="A1:U13"/>
  <sheetViews>
    <sheetView workbookViewId="0">
      <selection activeCell="F17" sqref="F17"/>
    </sheetView>
  </sheetViews>
  <sheetFormatPr baseColWidth="10" defaultRowHeight="16" x14ac:dyDescent="0.2"/>
  <cols>
    <col min="1" max="1" width="27.83203125" customWidth="1"/>
    <col min="2" max="2" width="8.6640625" customWidth="1"/>
    <col min="3" max="3" width="6.83203125" customWidth="1"/>
    <col min="7" max="7" width="13.5" customWidth="1"/>
    <col min="8" max="8" width="13.33203125" customWidth="1"/>
    <col min="9" max="9" width="14.6640625" customWidth="1"/>
    <col min="10" max="10" width="13.83203125" customWidth="1"/>
    <col min="11" max="11" width="13.5" customWidth="1"/>
    <col min="12" max="12" width="14.6640625" customWidth="1"/>
    <col min="13" max="14" width="13.33203125" customWidth="1"/>
  </cols>
  <sheetData>
    <row r="1" spans="1:21" ht="86" thickBot="1" x14ac:dyDescent="0.25">
      <c r="A1" s="2" t="s">
        <v>7</v>
      </c>
      <c r="B1" s="2" t="s">
        <v>8</v>
      </c>
      <c r="C1" s="2" t="s">
        <v>0</v>
      </c>
      <c r="D1" s="3" t="s">
        <v>9</v>
      </c>
      <c r="E1" s="4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4" t="s">
        <v>15</v>
      </c>
      <c r="K1" s="3" t="s">
        <v>16</v>
      </c>
      <c r="L1" s="3" t="s">
        <v>17</v>
      </c>
      <c r="M1" s="4" t="s">
        <v>25</v>
      </c>
      <c r="N1" s="3" t="s">
        <v>26</v>
      </c>
      <c r="O1" s="5" t="s">
        <v>18</v>
      </c>
      <c r="P1" s="3" t="s">
        <v>19</v>
      </c>
      <c r="Q1" s="5" t="s">
        <v>20</v>
      </c>
      <c r="R1" s="5" t="s">
        <v>21</v>
      </c>
      <c r="S1" s="5" t="s">
        <v>22</v>
      </c>
      <c r="T1" s="5" t="s">
        <v>27</v>
      </c>
      <c r="U1" s="6" t="s">
        <v>24</v>
      </c>
    </row>
    <row r="2" spans="1:21" ht="17" thickBot="1" x14ac:dyDescent="0.25">
      <c r="A2" s="7" t="s">
        <v>23</v>
      </c>
      <c r="B2" s="8">
        <v>2</v>
      </c>
      <c r="C2" s="9">
        <v>2.4</v>
      </c>
      <c r="D2" s="10">
        <v>0</v>
      </c>
      <c r="E2">
        <v>48</v>
      </c>
      <c r="F2" s="11">
        <v>48</v>
      </c>
      <c r="G2" s="12">
        <v>29</v>
      </c>
      <c r="H2" s="12">
        <v>29</v>
      </c>
      <c r="I2" s="43">
        <v>11</v>
      </c>
      <c r="J2" s="13">
        <f t="shared" ref="J2:J13" si="0">SUM(I2/F2)*100</f>
        <v>22.916666666666664</v>
      </c>
      <c r="K2" s="50">
        <f>SUM(E2*(I2/F2))</f>
        <v>11</v>
      </c>
      <c r="L2" s="52">
        <f>U2</f>
        <v>6</v>
      </c>
      <c r="M2" s="51">
        <f>SUM(L2/E2)*100</f>
        <v>12.5</v>
      </c>
      <c r="N2" s="17">
        <f>SUM(E2*(L2/F2))</f>
        <v>6</v>
      </c>
      <c r="O2" s="14">
        <v>2</v>
      </c>
      <c r="P2" s="15">
        <v>1</v>
      </c>
      <c r="Q2" s="15">
        <v>1</v>
      </c>
      <c r="R2" s="15">
        <v>2</v>
      </c>
      <c r="S2" s="15"/>
      <c r="T2" s="16">
        <v>0</v>
      </c>
      <c r="U2" s="21">
        <f>SUM(O2:T2)</f>
        <v>6</v>
      </c>
    </row>
    <row r="3" spans="1:21" ht="17" thickBot="1" x14ac:dyDescent="0.25">
      <c r="A3" s="11" t="s">
        <v>23</v>
      </c>
      <c r="B3" s="8">
        <v>2</v>
      </c>
      <c r="C3" s="9">
        <v>2.4</v>
      </c>
      <c r="D3" s="18">
        <v>32</v>
      </c>
      <c r="E3">
        <v>38</v>
      </c>
      <c r="F3" s="11">
        <v>38</v>
      </c>
      <c r="G3" s="19">
        <v>22</v>
      </c>
      <c r="H3" s="19">
        <v>22</v>
      </c>
      <c r="I3" s="44">
        <v>8</v>
      </c>
      <c r="J3" s="13">
        <f t="shared" si="0"/>
        <v>21.052631578947366</v>
      </c>
      <c r="K3" s="50">
        <f t="shared" ref="K3:K13" si="1">SUM(E3*(I3/F3))</f>
        <v>8</v>
      </c>
      <c r="L3" s="52">
        <f t="shared" ref="L3:L13" si="2">U3</f>
        <v>6</v>
      </c>
      <c r="M3" s="51">
        <f t="shared" ref="M3:M13" si="3">SUM(L3/E3)*100</f>
        <v>15.789473684210526</v>
      </c>
      <c r="N3" s="17">
        <f t="shared" ref="N3:N13" si="4">SUM(E3*(L3/F3))</f>
        <v>6</v>
      </c>
      <c r="O3" s="20">
        <v>2</v>
      </c>
      <c r="P3" s="21">
        <v>3</v>
      </c>
      <c r="Q3" s="21">
        <v>0</v>
      </c>
      <c r="R3" s="21">
        <v>1</v>
      </c>
      <c r="S3" s="21"/>
      <c r="T3" s="22">
        <v>0</v>
      </c>
      <c r="U3" s="21">
        <f t="shared" ref="U3:U13" si="5">SUM(O3:T3)</f>
        <v>6</v>
      </c>
    </row>
    <row r="4" spans="1:21" ht="17" thickBot="1" x14ac:dyDescent="0.25">
      <c r="A4" s="11" t="s">
        <v>23</v>
      </c>
      <c r="B4" s="8">
        <v>2</v>
      </c>
      <c r="C4" s="9">
        <v>2.4</v>
      </c>
      <c r="D4" s="18">
        <v>320</v>
      </c>
      <c r="E4">
        <v>84</v>
      </c>
      <c r="F4" s="11">
        <v>48</v>
      </c>
      <c r="G4" s="19">
        <v>34</v>
      </c>
      <c r="H4" s="19">
        <v>34</v>
      </c>
      <c r="I4" s="45">
        <v>16</v>
      </c>
      <c r="J4" s="13">
        <f t="shared" si="0"/>
        <v>33.333333333333329</v>
      </c>
      <c r="K4" s="50">
        <f t="shared" si="1"/>
        <v>28</v>
      </c>
      <c r="L4" s="52">
        <f t="shared" si="2"/>
        <v>9</v>
      </c>
      <c r="M4" s="51">
        <f t="shared" si="3"/>
        <v>10.714285714285714</v>
      </c>
      <c r="N4" s="17">
        <f t="shared" si="4"/>
        <v>15.75</v>
      </c>
      <c r="O4" s="20">
        <v>1</v>
      </c>
      <c r="P4" s="21">
        <v>2</v>
      </c>
      <c r="Q4" s="21">
        <v>1</v>
      </c>
      <c r="R4" s="21">
        <v>5</v>
      </c>
      <c r="S4" s="21"/>
      <c r="T4" s="22">
        <v>0</v>
      </c>
      <c r="U4" s="21">
        <f t="shared" si="5"/>
        <v>9</v>
      </c>
    </row>
    <row r="5" spans="1:21" s="42" customFormat="1" ht="17" thickBot="1" x14ac:dyDescent="0.25">
      <c r="A5" s="23" t="s">
        <v>23</v>
      </c>
      <c r="B5" s="8">
        <v>2</v>
      </c>
      <c r="C5" s="9">
        <v>2.4</v>
      </c>
      <c r="D5" s="25">
        <v>3200</v>
      </c>
      <c r="E5" s="42">
        <v>48</v>
      </c>
      <c r="F5" s="23">
        <v>48</v>
      </c>
      <c r="G5" s="26">
        <v>38</v>
      </c>
      <c r="H5" s="26">
        <v>38</v>
      </c>
      <c r="I5" s="46">
        <v>23</v>
      </c>
      <c r="J5" s="24">
        <f t="shared" si="0"/>
        <v>47.916666666666671</v>
      </c>
      <c r="K5" s="54">
        <f t="shared" si="1"/>
        <v>23</v>
      </c>
      <c r="L5" s="55">
        <f t="shared" si="2"/>
        <v>10</v>
      </c>
      <c r="M5" s="56">
        <f>SUM(L5/E5)*100</f>
        <v>20.833333333333336</v>
      </c>
      <c r="N5" s="24">
        <f t="shared" si="4"/>
        <v>10</v>
      </c>
      <c r="O5" s="27">
        <v>2</v>
      </c>
      <c r="P5" s="28">
        <v>1</v>
      </c>
      <c r="Q5" s="28">
        <v>0</v>
      </c>
      <c r="R5" s="28">
        <v>7</v>
      </c>
      <c r="S5" s="28"/>
      <c r="T5" s="29">
        <v>0</v>
      </c>
      <c r="U5" s="28">
        <f t="shared" si="5"/>
        <v>10</v>
      </c>
    </row>
    <row r="6" spans="1:21" ht="16" customHeight="1" thickBot="1" x14ac:dyDescent="0.25">
      <c r="A6" s="37" t="s">
        <v>23</v>
      </c>
      <c r="B6" s="8">
        <v>2</v>
      </c>
      <c r="C6" s="36">
        <v>2.5</v>
      </c>
      <c r="D6" s="38">
        <v>0</v>
      </c>
      <c r="E6">
        <v>86</v>
      </c>
      <c r="F6" s="37">
        <v>48</v>
      </c>
      <c r="G6" s="13">
        <v>42</v>
      </c>
      <c r="H6" s="13">
        <v>38</v>
      </c>
      <c r="I6" s="47">
        <v>8</v>
      </c>
      <c r="J6" s="13">
        <f t="shared" si="0"/>
        <v>16.666666666666664</v>
      </c>
      <c r="K6" s="36">
        <f t="shared" si="1"/>
        <v>14.333333333333332</v>
      </c>
      <c r="L6" s="53">
        <f t="shared" si="2"/>
        <v>4</v>
      </c>
      <c r="M6" s="51">
        <f t="shared" si="3"/>
        <v>4.6511627906976747</v>
      </c>
      <c r="N6" s="13">
        <f t="shared" si="4"/>
        <v>7.1666666666666661</v>
      </c>
      <c r="O6" s="39">
        <v>1</v>
      </c>
      <c r="P6" s="40"/>
      <c r="Q6" s="40">
        <v>2</v>
      </c>
      <c r="R6" s="40">
        <v>1</v>
      </c>
      <c r="S6" s="40"/>
      <c r="T6" s="41">
        <v>0</v>
      </c>
      <c r="U6" s="59">
        <f t="shared" si="5"/>
        <v>4</v>
      </c>
    </row>
    <row r="7" spans="1:21" ht="17" thickBot="1" x14ac:dyDescent="0.25">
      <c r="A7" s="11" t="s">
        <v>23</v>
      </c>
      <c r="B7" s="8">
        <v>2</v>
      </c>
      <c r="C7" s="36">
        <v>2.5</v>
      </c>
      <c r="D7" s="18">
        <v>32</v>
      </c>
      <c r="E7">
        <v>77</v>
      </c>
      <c r="F7" s="11">
        <v>48</v>
      </c>
      <c r="G7" s="17">
        <v>44</v>
      </c>
      <c r="H7" s="17">
        <v>40</v>
      </c>
      <c r="I7" s="48">
        <v>3</v>
      </c>
      <c r="J7" s="17">
        <f t="shared" si="0"/>
        <v>6.25</v>
      </c>
      <c r="K7" s="50">
        <f t="shared" si="1"/>
        <v>4.8125</v>
      </c>
      <c r="L7" s="52">
        <f t="shared" si="2"/>
        <v>3</v>
      </c>
      <c r="M7" s="51">
        <f t="shared" si="3"/>
        <v>3.8961038961038961</v>
      </c>
      <c r="N7" s="17">
        <f t="shared" si="4"/>
        <v>4.8125</v>
      </c>
      <c r="O7" s="30">
        <v>0</v>
      </c>
      <c r="P7" s="31"/>
      <c r="Q7" s="31">
        <v>3</v>
      </c>
      <c r="R7" s="31">
        <v>0</v>
      </c>
      <c r="S7" s="31"/>
      <c r="T7" s="32">
        <v>0</v>
      </c>
      <c r="U7" s="21">
        <f t="shared" si="5"/>
        <v>3</v>
      </c>
    </row>
    <row r="8" spans="1:21" ht="17" thickBot="1" x14ac:dyDescent="0.25">
      <c r="A8" s="11" t="s">
        <v>23</v>
      </c>
      <c r="B8" s="8">
        <v>2</v>
      </c>
      <c r="C8" s="36">
        <v>2.5</v>
      </c>
      <c r="D8" s="18">
        <v>320</v>
      </c>
      <c r="E8">
        <v>313</v>
      </c>
      <c r="F8" s="11">
        <v>48</v>
      </c>
      <c r="G8" s="17">
        <v>46</v>
      </c>
      <c r="H8" s="17">
        <v>38</v>
      </c>
      <c r="I8" s="48">
        <v>15</v>
      </c>
      <c r="J8" s="17">
        <f t="shared" si="0"/>
        <v>31.25</v>
      </c>
      <c r="K8" s="50">
        <f t="shared" si="1"/>
        <v>97.8125</v>
      </c>
      <c r="L8" s="52">
        <f t="shared" si="2"/>
        <v>5</v>
      </c>
      <c r="M8" s="57">
        <f t="shared" si="3"/>
        <v>1.5974440894568689</v>
      </c>
      <c r="N8" s="17">
        <f t="shared" si="4"/>
        <v>32.604166666666671</v>
      </c>
      <c r="O8" s="30">
        <v>0</v>
      </c>
      <c r="P8" s="31"/>
      <c r="Q8" s="31">
        <v>5</v>
      </c>
      <c r="R8" s="31">
        <v>0</v>
      </c>
      <c r="S8" s="31"/>
      <c r="T8" s="32">
        <v>0</v>
      </c>
      <c r="U8" s="21">
        <f t="shared" si="5"/>
        <v>5</v>
      </c>
    </row>
    <row r="9" spans="1:21" s="42" customFormat="1" ht="17" thickBot="1" x14ac:dyDescent="0.25">
      <c r="A9" s="23" t="s">
        <v>23</v>
      </c>
      <c r="B9" s="8">
        <v>2</v>
      </c>
      <c r="C9" s="36">
        <v>2.5</v>
      </c>
      <c r="D9" s="25">
        <v>3200</v>
      </c>
      <c r="E9" s="42">
        <v>89</v>
      </c>
      <c r="F9" s="24">
        <v>48</v>
      </c>
      <c r="G9" s="24">
        <v>44</v>
      </c>
      <c r="H9" s="24">
        <v>44</v>
      </c>
      <c r="I9" s="49">
        <v>11</v>
      </c>
      <c r="J9" s="24">
        <f t="shared" si="0"/>
        <v>22.916666666666664</v>
      </c>
      <c r="K9" s="54">
        <f t="shared" si="1"/>
        <v>20.395833333333332</v>
      </c>
      <c r="L9" s="55">
        <f t="shared" si="2"/>
        <v>6</v>
      </c>
      <c r="M9" s="58">
        <f t="shared" si="3"/>
        <v>6.7415730337078648</v>
      </c>
      <c r="N9" s="24">
        <f t="shared" si="4"/>
        <v>11.125</v>
      </c>
      <c r="O9" s="33">
        <v>1</v>
      </c>
      <c r="P9" s="34"/>
      <c r="Q9" s="34">
        <v>5</v>
      </c>
      <c r="R9" s="34">
        <v>0</v>
      </c>
      <c r="S9" s="34"/>
      <c r="T9" s="35">
        <v>0</v>
      </c>
      <c r="U9" s="28">
        <f t="shared" si="5"/>
        <v>6</v>
      </c>
    </row>
    <row r="10" spans="1:21" ht="17" thickBot="1" x14ac:dyDescent="0.25">
      <c r="A10" s="37" t="s">
        <v>23</v>
      </c>
      <c r="B10" s="8">
        <v>2</v>
      </c>
      <c r="C10" s="36">
        <v>2.6</v>
      </c>
      <c r="D10" s="38">
        <v>0</v>
      </c>
      <c r="E10" s="1">
        <v>144</v>
      </c>
      <c r="F10" s="37">
        <v>48</v>
      </c>
      <c r="G10" s="13">
        <v>28</v>
      </c>
      <c r="H10" s="13">
        <v>17</v>
      </c>
      <c r="I10" s="47">
        <v>1</v>
      </c>
      <c r="J10" s="13">
        <f t="shared" si="0"/>
        <v>2.083333333333333</v>
      </c>
      <c r="K10" s="36">
        <f t="shared" si="1"/>
        <v>3</v>
      </c>
      <c r="L10" s="53">
        <f t="shared" si="2"/>
        <v>0</v>
      </c>
      <c r="M10" s="51">
        <f t="shared" si="3"/>
        <v>0</v>
      </c>
      <c r="N10" s="13">
        <f t="shared" si="4"/>
        <v>0</v>
      </c>
      <c r="O10" s="39">
        <v>0</v>
      </c>
      <c r="P10" s="40"/>
      <c r="Q10" s="40">
        <v>0</v>
      </c>
      <c r="R10" s="40">
        <v>0</v>
      </c>
      <c r="S10" s="40"/>
      <c r="T10" s="41">
        <v>0</v>
      </c>
      <c r="U10" s="59">
        <f t="shared" si="5"/>
        <v>0</v>
      </c>
    </row>
    <row r="11" spans="1:21" ht="17" thickBot="1" x14ac:dyDescent="0.25">
      <c r="A11" s="11" t="s">
        <v>23</v>
      </c>
      <c r="B11" s="8">
        <v>2</v>
      </c>
      <c r="C11" s="36">
        <v>2.6</v>
      </c>
      <c r="D11" s="18">
        <v>32</v>
      </c>
      <c r="E11" s="1">
        <v>194</v>
      </c>
      <c r="F11" s="11">
        <v>48</v>
      </c>
      <c r="G11" s="17">
        <v>42</v>
      </c>
      <c r="H11" s="17">
        <v>35</v>
      </c>
      <c r="I11" s="48">
        <v>5</v>
      </c>
      <c r="J11" s="17">
        <f t="shared" si="0"/>
        <v>10.416666666666668</v>
      </c>
      <c r="K11" s="50">
        <f t="shared" si="1"/>
        <v>20.208333333333336</v>
      </c>
      <c r="L11" s="52">
        <f t="shared" si="2"/>
        <v>4</v>
      </c>
      <c r="M11" s="51">
        <f t="shared" si="3"/>
        <v>2.0618556701030926</v>
      </c>
      <c r="N11" s="17">
        <f t="shared" si="4"/>
        <v>16.166666666666664</v>
      </c>
      <c r="O11" s="30">
        <v>1</v>
      </c>
      <c r="P11" s="31"/>
      <c r="Q11" s="31">
        <v>2</v>
      </c>
      <c r="R11" s="31">
        <v>0</v>
      </c>
      <c r="S11" s="31"/>
      <c r="T11" s="32">
        <v>1</v>
      </c>
      <c r="U11" s="21">
        <f t="shared" si="5"/>
        <v>4</v>
      </c>
    </row>
    <row r="12" spans="1:21" ht="17" thickBot="1" x14ac:dyDescent="0.25">
      <c r="A12" s="11" t="s">
        <v>23</v>
      </c>
      <c r="B12" s="8">
        <v>2</v>
      </c>
      <c r="C12" s="36">
        <v>2.6</v>
      </c>
      <c r="D12" s="18">
        <v>320</v>
      </c>
      <c r="E12" s="1">
        <v>117</v>
      </c>
      <c r="F12" s="11">
        <v>48</v>
      </c>
      <c r="G12" s="17">
        <v>35</v>
      </c>
      <c r="H12" s="17">
        <v>23</v>
      </c>
      <c r="I12" s="48">
        <v>2</v>
      </c>
      <c r="J12" s="17">
        <f t="shared" si="0"/>
        <v>4.1666666666666661</v>
      </c>
      <c r="K12" s="50">
        <f t="shared" si="1"/>
        <v>4.875</v>
      </c>
      <c r="L12" s="52">
        <f t="shared" si="2"/>
        <v>2</v>
      </c>
      <c r="M12" s="51">
        <f t="shared" si="3"/>
        <v>1.7094017094017095</v>
      </c>
      <c r="N12" s="17">
        <f t="shared" si="4"/>
        <v>4.875</v>
      </c>
      <c r="O12" s="30">
        <v>0</v>
      </c>
      <c r="P12" s="31"/>
      <c r="Q12" s="31">
        <v>1</v>
      </c>
      <c r="R12" s="31">
        <v>1</v>
      </c>
      <c r="S12" s="31"/>
      <c r="T12" s="32">
        <v>0</v>
      </c>
      <c r="U12" s="21">
        <f t="shared" si="5"/>
        <v>2</v>
      </c>
    </row>
    <row r="13" spans="1:21" s="42" customFormat="1" ht="17" thickBot="1" x14ac:dyDescent="0.25">
      <c r="A13" s="23" t="s">
        <v>23</v>
      </c>
      <c r="B13" s="8">
        <v>2</v>
      </c>
      <c r="C13" s="36">
        <v>2.6</v>
      </c>
      <c r="D13" s="25">
        <v>3200</v>
      </c>
      <c r="E13" s="42">
        <v>101</v>
      </c>
      <c r="F13" s="24">
        <v>48</v>
      </c>
      <c r="G13" s="24">
        <v>43</v>
      </c>
      <c r="H13" s="24">
        <v>36</v>
      </c>
      <c r="I13" s="49">
        <v>6</v>
      </c>
      <c r="J13" s="24">
        <f t="shared" si="0"/>
        <v>12.5</v>
      </c>
      <c r="K13" s="54">
        <f t="shared" si="1"/>
        <v>12.625</v>
      </c>
      <c r="L13" s="55">
        <f t="shared" si="2"/>
        <v>6</v>
      </c>
      <c r="M13" s="56">
        <f t="shared" si="3"/>
        <v>5.9405940594059405</v>
      </c>
      <c r="N13" s="24">
        <f t="shared" si="4"/>
        <v>12.625</v>
      </c>
      <c r="O13" s="33">
        <v>0</v>
      </c>
      <c r="P13" s="34"/>
      <c r="Q13" s="34">
        <v>5</v>
      </c>
      <c r="R13" s="34">
        <v>0</v>
      </c>
      <c r="S13" s="34"/>
      <c r="T13" s="35">
        <v>1</v>
      </c>
      <c r="U13" s="28">
        <f t="shared" si="5"/>
        <v>6</v>
      </c>
    </row>
  </sheetData>
  <pageMargins left="0.7" right="0.7" top="0.75" bottom="0.75" header="0.3" footer="0.3"/>
  <pageSetup paperSize="9" scale="4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Goodman</dc:creator>
  <cp:lastModifiedBy>Richard Goodman</cp:lastModifiedBy>
  <cp:lastPrinted>2026-04-24T14:48:16Z</cp:lastPrinted>
  <dcterms:created xsi:type="dcterms:W3CDTF">2026-02-19T11:05:42Z</dcterms:created>
  <dcterms:modified xsi:type="dcterms:W3CDTF">2026-07-21T14:46:30Z</dcterms:modified>
</cp:coreProperties>
</file>