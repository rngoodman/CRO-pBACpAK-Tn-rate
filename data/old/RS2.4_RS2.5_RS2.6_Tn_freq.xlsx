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Github/CRO-concentrations-Tn-frequency/data/"/>
    </mc:Choice>
  </mc:AlternateContent>
  <xr:revisionPtr revIDLastSave="0" documentId="8_{EF570F73-538E-C645-AC24-C9A0A8F1CFBE}" xr6:coauthVersionLast="47" xr6:coauthVersionMax="47" xr10:uidLastSave="{00000000-0000-0000-0000-000000000000}"/>
  <bookViews>
    <workbookView xWindow="43960" yWindow="5240" windowWidth="30300" windowHeight="15440" xr2:uid="{CE885985-FB21-164A-B7A8-9B4ECD8F9A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3" i="1"/>
  <c r="G2" i="1"/>
  <c r="N12" i="2"/>
  <c r="N3" i="2"/>
  <c r="N4" i="2"/>
  <c r="N5" i="2"/>
  <c r="N6" i="2"/>
  <c r="N7" i="2"/>
  <c r="N8" i="2"/>
  <c r="N9" i="2"/>
  <c r="N10" i="2"/>
  <c r="N13" i="2"/>
  <c r="N2" i="2"/>
  <c r="K3" i="2"/>
  <c r="K4" i="2"/>
  <c r="K5" i="2"/>
  <c r="K6" i="2"/>
  <c r="K7" i="2"/>
  <c r="K8" i="2"/>
  <c r="K9" i="2"/>
  <c r="K10" i="2"/>
  <c r="K11" i="2"/>
  <c r="K12" i="2"/>
  <c r="K13" i="2"/>
  <c r="K2" i="2"/>
  <c r="J2" i="2"/>
  <c r="M2" i="2"/>
  <c r="M3" i="2"/>
  <c r="M4" i="2"/>
  <c r="M5" i="2"/>
  <c r="M6" i="2"/>
  <c r="M7" i="2"/>
  <c r="M8" i="2"/>
  <c r="M9" i="2"/>
  <c r="M10" i="2"/>
  <c r="M12" i="2"/>
  <c r="M13" i="2"/>
  <c r="J13" i="2"/>
  <c r="J12" i="2"/>
  <c r="J11" i="2"/>
  <c r="J10" i="2"/>
  <c r="L13" i="1"/>
  <c r="L12" i="1"/>
  <c r="L3" i="1"/>
  <c r="L4" i="1"/>
  <c r="L5" i="1"/>
  <c r="L7" i="1"/>
  <c r="L8" i="1"/>
  <c r="L9" i="1"/>
  <c r="L6" i="1"/>
  <c r="L11" i="1"/>
  <c r="L10" i="1"/>
  <c r="L2" i="1"/>
  <c r="M2" i="1"/>
  <c r="E13" i="1"/>
  <c r="G13" i="1" s="1"/>
  <c r="E12" i="1"/>
  <c r="G12" i="1" s="1"/>
  <c r="E11" i="1"/>
  <c r="G11" i="1" s="1"/>
  <c r="E10" i="1"/>
  <c r="N10" i="1" s="1"/>
  <c r="J9" i="2"/>
  <c r="J8" i="2"/>
  <c r="J7" i="2"/>
  <c r="J6" i="2"/>
  <c r="J5" i="2"/>
  <c r="J4" i="2"/>
  <c r="J3" i="2"/>
  <c r="M3" i="1"/>
  <c r="M4" i="1"/>
  <c r="M5" i="1"/>
  <c r="E9" i="1"/>
  <c r="G9" i="1" s="1"/>
  <c r="E8" i="1"/>
  <c r="G8" i="1" s="1"/>
  <c r="E7" i="1"/>
  <c r="G7" i="1" s="1"/>
  <c r="E6" i="1"/>
  <c r="G6" i="1" s="1"/>
  <c r="E5" i="1"/>
  <c r="E4" i="1"/>
  <c r="G4" i="1" s="1"/>
  <c r="N5" i="1" l="1"/>
  <c r="G10" i="1"/>
  <c r="G5" i="1"/>
  <c r="N12" i="1"/>
  <c r="N11" i="1"/>
  <c r="N13" i="1"/>
  <c r="M11" i="2"/>
  <c r="N11" i="2"/>
  <c r="N4" i="1"/>
  <c r="N2" i="1"/>
  <c r="N9" i="1"/>
  <c r="N8" i="1"/>
  <c r="N7" i="1"/>
  <c r="N6" i="1"/>
  <c r="N3" i="1"/>
</calcChain>
</file>

<file path=xl/sharedStrings.xml><?xml version="1.0" encoding="utf-8"?>
<sst xmlns="http://schemas.openxmlformats.org/spreadsheetml/2006/main" count="59" uniqueCount="38">
  <si>
    <t>Assay</t>
  </si>
  <si>
    <t>Concentration</t>
  </si>
  <si>
    <t>10x_colonies_T</t>
  </si>
  <si>
    <t>CFU_ml_T</t>
  </si>
  <si>
    <t>CFU_ml_TT</t>
  </si>
  <si>
    <t>10_-4_colonies_N</t>
  </si>
  <si>
    <t>10_-5_colonies_N</t>
  </si>
  <si>
    <t>10_-6_colonies_N</t>
  </si>
  <si>
    <t>10_-7_colonies_N</t>
  </si>
  <si>
    <t>CFU_ml_N</t>
  </si>
  <si>
    <t>CFU_ml_N_10-4</t>
  </si>
  <si>
    <t>Freq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</si>
  <si>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</si>
  <si>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</si>
  <si>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</si>
  <si>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</si>
  <si>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</si>
  <si>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</si>
  <si>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</si>
  <si>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</si>
  <si>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</si>
  <si>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</si>
  <si>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</si>
  <si>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</si>
  <si>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</si>
  <si>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</si>
  <si>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</si>
  <si>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</si>
  <si>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</si>
  <si>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All insertions</t>
  </si>
  <si>
    <t>True Transposant percentages (seq)</t>
  </si>
  <si>
    <t>True Transposant number (seq)</t>
  </si>
  <si>
    <t>IS1A</t>
  </si>
  <si>
    <t>10x_colonies_T_OG_count</t>
  </si>
  <si>
    <t>TT_pc</t>
  </si>
  <si>
    <t>RS2.4</t>
  </si>
  <si>
    <t>RS2.5</t>
  </si>
  <si>
    <t>RS2.6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</si>
</sst>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indexed="64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9" xfId="0" applyFont="1" applyFill="1" applyBorder="1" applyAlignment="1">
      <alignment horizontal="center" wrapText="1" readingOrder="1"/>
    </xf>
    <xf numFmtId="0" fontId="0" fillId="0" borderId="10" xfId="0" applyBorder="1"/>
    <xf numFmtId="0" fontId="4" fillId="0" borderId="7" xfId="0" applyFont="1" applyBorder="1" applyAlignment="1">
      <alignment horizontal="right" wrapText="1" readingOrder="1"/>
    </xf>
    <xf numFmtId="0" fontId="0" fillId="0" borderId="11" xfId="0" applyBorder="1"/>
    <xf numFmtId="0" fontId="2" fillId="0" borderId="12" xfId="0" applyFont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2" fillId="2" borderId="9" xfId="0" applyFont="1" applyFill="1" applyBorder="1" applyAlignment="1">
      <alignment horizontal="center" wrapText="1" readingOrder="1"/>
    </xf>
    <xf numFmtId="0" fontId="0" fillId="0" borderId="14" xfId="0" applyBorder="1"/>
    <xf numFmtId="0" fontId="3" fillId="2" borderId="16" xfId="0" applyFont="1" applyFill="1" applyBorder="1" applyAlignment="1">
      <alignment horizontal="center" wrapText="1" readingOrder="1"/>
    </xf>
    <xf numFmtId="0" fontId="4" fillId="0" borderId="14" xfId="0" applyFont="1" applyBorder="1" applyAlignment="1">
      <alignment horizontal="right" wrapText="1" readingOrder="1"/>
    </xf>
    <xf numFmtId="0" fontId="2" fillId="0" borderId="17" xfId="0" applyFont="1" applyBorder="1" applyAlignment="1">
      <alignment horizontal="center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0" fillId="0" borderId="19" xfId="0" applyBorder="1"/>
    <xf numFmtId="0" fontId="0" fillId="0" borderId="20" xfId="0" applyBorder="1"/>
    <xf numFmtId="0" fontId="3" fillId="2" borderId="22" xfId="0" applyFont="1" applyFill="1" applyBorder="1" applyAlignment="1">
      <alignment horizontal="center" wrapText="1" readingOrder="1"/>
    </xf>
    <xf numFmtId="0" fontId="4" fillId="0" borderId="20" xfId="0" applyFont="1" applyBorder="1" applyAlignment="1">
      <alignment horizontal="right" wrapText="1" readingOrder="1"/>
    </xf>
    <xf numFmtId="0" fontId="2" fillId="0" borderId="23" xfId="0" applyFont="1" applyBorder="1" applyAlignment="1">
      <alignment horizontal="center" wrapText="1" readingOrder="1"/>
    </xf>
    <xf numFmtId="0" fontId="2" fillId="2" borderId="24" xfId="0" applyFont="1" applyFill="1" applyBorder="1" applyAlignment="1">
      <alignment horizontal="center" wrapText="1" readingOrder="1"/>
    </xf>
    <xf numFmtId="0" fontId="2" fillId="2" borderId="20" xfId="0" applyFont="1" applyFill="1" applyBorder="1" applyAlignment="1">
      <alignment horizontal="center" wrapText="1" readingOrder="1"/>
    </xf>
    <xf numFmtId="0" fontId="2" fillId="2" borderId="21" xfId="0" applyFont="1" applyFill="1" applyBorder="1" applyAlignment="1">
      <alignment horizontal="center" wrapText="1" readingOrder="1"/>
    </xf>
    <xf numFmtId="0" fontId="2" fillId="2" borderId="22" xfId="0" applyFont="1" applyFill="1" applyBorder="1" applyAlignment="1">
      <alignment horizontal="center" wrapText="1" readingOrder="1"/>
    </xf>
    <xf numFmtId="0" fontId="0" fillId="0" borderId="17" xfId="0" applyBorder="1"/>
    <xf numFmtId="0" fontId="4" fillId="2" borderId="18" xfId="0" applyFont="1" applyFill="1" applyBorder="1" applyAlignment="1">
      <alignment horizontal="center" wrapText="1" readingOrder="1"/>
    </xf>
    <xf numFmtId="0" fontId="4" fillId="2" borderId="14" xfId="0" applyFont="1" applyFill="1" applyBorder="1" applyAlignment="1">
      <alignment horizontal="center" wrapText="1" readingOrder="1"/>
    </xf>
    <xf numFmtId="0" fontId="4" fillId="2" borderId="15" xfId="0" applyFont="1" applyFill="1" applyBorder="1" applyAlignment="1">
      <alignment horizontal="center" wrapText="1" readingOrder="1"/>
    </xf>
    <xf numFmtId="0" fontId="4" fillId="2" borderId="16" xfId="0" applyFont="1" applyFill="1" applyBorder="1" applyAlignment="1">
      <alignment horizontal="center" wrapText="1" readingOrder="1"/>
    </xf>
    <xf numFmtId="0" fontId="0" fillId="0" borderId="23" xfId="0" applyBorder="1"/>
    <xf numFmtId="0" fontId="4" fillId="2" borderId="24" xfId="0" applyFont="1" applyFill="1" applyBorder="1" applyAlignment="1">
      <alignment horizontal="center" wrapText="1" readingOrder="1"/>
    </xf>
    <xf numFmtId="0" fontId="4" fillId="2" borderId="20" xfId="0" applyFont="1" applyFill="1" applyBorder="1" applyAlignment="1">
      <alignment horizontal="center" wrapText="1" readingOrder="1"/>
    </xf>
    <xf numFmtId="0" fontId="4" fillId="2" borderId="21" xfId="0" applyFont="1" applyFill="1" applyBorder="1" applyAlignment="1">
      <alignment horizontal="center" wrapText="1" readingOrder="1"/>
    </xf>
    <xf numFmtId="0" fontId="4" fillId="2" borderId="22" xfId="0" applyFont="1" applyFill="1" applyBorder="1" applyAlignment="1">
      <alignment horizontal="center" wrapText="1" readingOrder="1"/>
    </xf>
    <xf numFmtId="0" fontId="0" fillId="0" borderId="25" xfId="0" applyBorder="1"/>
    <xf numFmtId="0" fontId="0" fillId="0" borderId="26" xfId="0" applyBorder="1"/>
    <xf numFmtId="0" fontId="3" fillId="2" borderId="27" xfId="0" applyFont="1" applyFill="1" applyBorder="1" applyAlignment="1">
      <alignment horizontal="center" wrapText="1" readingOrder="1"/>
    </xf>
    <xf numFmtId="0" fontId="0" fillId="0" borderId="29" xfId="0" applyBorder="1"/>
    <xf numFmtId="0" fontId="4" fillId="2" borderId="28" xfId="0" applyFont="1" applyFill="1" applyBorder="1" applyAlignment="1">
      <alignment horizontal="center" wrapText="1" readingOrder="1"/>
    </xf>
    <xf numFmtId="0" fontId="4" fillId="2" borderId="11" xfId="0" applyFont="1" applyFill="1" applyBorder="1" applyAlignment="1">
      <alignment horizontal="center" wrapText="1" readingOrder="1"/>
    </xf>
    <xf numFmtId="0" fontId="4" fillId="2" borderId="25" xfId="0" applyFont="1" applyFill="1" applyBorder="1" applyAlignment="1">
      <alignment horizontal="center" wrapText="1" readingOrder="1"/>
    </xf>
    <xf numFmtId="0" fontId="4" fillId="2" borderId="27" xfId="0" applyFont="1" applyFill="1" applyBorder="1" applyAlignment="1">
      <alignment horizontal="center" wrapText="1" readingOrder="1"/>
    </xf>
    <xf numFmtId="0" fontId="0" fillId="0" borderId="30" xfId="0" applyBorder="1"/>
    <xf numFmtId="0" fontId="2" fillId="0" borderId="7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right" vertical="center" wrapText="1" readingOrder="1"/>
    </xf>
    <xf numFmtId="0" fontId="2" fillId="0" borderId="20" xfId="0" applyFont="1" applyBorder="1" applyAlignment="1">
      <alignment horizontal="center" vertical="center" wrapText="1" readingOrder="1"/>
    </xf>
    <xf numFmtId="0" fontId="0" fillId="0" borderId="2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03E-E55F-E44B-B693-CE4E3C9EF459}">
  <dimension ref="A1:U14"/>
  <sheetViews>
    <sheetView tabSelected="1" workbookViewId="0">
      <selection activeCell="A13" sqref="A13"/>
    </sheetView>
  </sheetViews>
  <sheetFormatPr baseColWidth="10" defaultRowHeight="16" x14ac:dyDescent="0.2"/>
  <cols>
    <col min="2" max="2" width="13.5" customWidth="1"/>
    <col min="3" max="3" width="26" customWidth="1"/>
    <col min="4" max="4" width="16.5" customWidth="1"/>
    <col min="5" max="6" width="16.83203125" customWidth="1"/>
    <col min="7" max="7" width="14.33203125" customWidth="1"/>
    <col min="8" max="8" width="15.5" customWidth="1"/>
    <col min="9" max="10" width="19.83203125" customWidth="1"/>
    <col min="12" max="12" width="13.33203125" customWidth="1"/>
    <col min="13" max="13" width="16.5" customWidth="1"/>
    <col min="14" max="14" width="8.6640625" customWidth="1"/>
    <col min="21" max="21" width="15.5" customWidth="1"/>
  </cols>
  <sheetData>
    <row r="1" spans="1:21" x14ac:dyDescent="0.2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34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1" x14ac:dyDescent="0.2">
      <c r="A2" t="s">
        <v>35</v>
      </c>
      <c r="B2">
        <v>0</v>
      </c>
      <c r="C2">
        <v>48</v>
      </c>
      <c r="D2">
        <v>48</v>
      </c>
      <c r="E2">
        <f>(D2/10)/0.1</f>
        <v>47.999999999999993</v>
      </c>
      <c r="F2">
        <v>22.916666666666664</v>
      </c>
      <c r="G2">
        <f>SUM(E2*(F2/100))</f>
        <v>10.999999999999996</v>
      </c>
      <c r="H2">
        <v>346</v>
      </c>
      <c r="I2">
        <v>12</v>
      </c>
      <c r="L2">
        <f>(H2*10000)/0.1</f>
        <v>34600000</v>
      </c>
      <c r="M2">
        <f>(H2*10000)/0.1</f>
        <v>34600000</v>
      </c>
      <c r="N2">
        <f t="shared" ref="N2:N13" si="0">(E2/L2)</f>
        <v>1.3872832369942195E-6</v>
      </c>
    </row>
    <row r="3" spans="1:21" x14ac:dyDescent="0.2">
      <c r="A3" t="s">
        <v>35</v>
      </c>
      <c r="B3">
        <v>32</v>
      </c>
      <c r="C3">
        <v>38</v>
      </c>
      <c r="D3">
        <v>38</v>
      </c>
      <c r="E3">
        <v>38</v>
      </c>
      <c r="F3">
        <v>18.421052631578945</v>
      </c>
      <c r="G3">
        <f t="shared" ref="G3:G13" si="1">SUM(E3*(F3/100))</f>
        <v>7</v>
      </c>
      <c r="H3">
        <v>129</v>
      </c>
      <c r="I3">
        <v>177</v>
      </c>
      <c r="L3">
        <f t="shared" ref="L3:L5" si="2">(H3*10000)/0.1</f>
        <v>12900000</v>
      </c>
      <c r="M3">
        <f t="shared" ref="M3:M5" si="3">(I3*10000)/0.1</f>
        <v>17700000</v>
      </c>
      <c r="N3">
        <f t="shared" si="0"/>
        <v>2.9457364341085272E-6</v>
      </c>
    </row>
    <row r="4" spans="1:21" x14ac:dyDescent="0.2">
      <c r="A4" t="s">
        <v>35</v>
      </c>
      <c r="B4">
        <v>320</v>
      </c>
      <c r="C4">
        <v>84</v>
      </c>
      <c r="D4">
        <v>84</v>
      </c>
      <c r="E4">
        <f t="shared" ref="E4:E13" si="4">(D4/10)/0.1</f>
        <v>84</v>
      </c>
      <c r="F4">
        <v>19.047619047619047</v>
      </c>
      <c r="G4">
        <f t="shared" si="1"/>
        <v>16</v>
      </c>
      <c r="H4">
        <v>229</v>
      </c>
      <c r="I4">
        <v>39</v>
      </c>
      <c r="L4">
        <f t="shared" si="2"/>
        <v>22900000</v>
      </c>
      <c r="M4">
        <f t="shared" si="3"/>
        <v>3900000</v>
      </c>
      <c r="N4">
        <f t="shared" si="0"/>
        <v>3.6681222707423581E-6</v>
      </c>
    </row>
    <row r="5" spans="1:21" x14ac:dyDescent="0.2">
      <c r="A5" t="s">
        <v>35</v>
      </c>
      <c r="B5" s="1">
        <v>3200</v>
      </c>
      <c r="C5" s="1">
        <v>46</v>
      </c>
      <c r="D5" s="1">
        <v>48</v>
      </c>
      <c r="E5" s="1">
        <f t="shared" si="4"/>
        <v>47.999999999999993</v>
      </c>
      <c r="F5" s="1">
        <v>47.916666666666671</v>
      </c>
      <c r="G5">
        <f t="shared" si="1"/>
        <v>23</v>
      </c>
      <c r="H5" s="1">
        <v>112</v>
      </c>
      <c r="I5" s="1">
        <v>255</v>
      </c>
      <c r="J5" s="1"/>
      <c r="K5" s="1"/>
      <c r="L5">
        <f t="shared" si="2"/>
        <v>11200000</v>
      </c>
      <c r="M5">
        <f t="shared" si="3"/>
        <v>25500000</v>
      </c>
      <c r="N5" s="1">
        <f>(E5/L5)</f>
        <v>4.2857142857142855E-6</v>
      </c>
      <c r="O5" s="1"/>
      <c r="P5" s="1"/>
      <c r="Q5" s="1"/>
      <c r="R5" s="1"/>
      <c r="S5" s="1"/>
      <c r="T5" s="1"/>
      <c r="U5" s="1"/>
    </row>
    <row r="6" spans="1:21" x14ac:dyDescent="0.2">
      <c r="A6" t="s">
        <v>36</v>
      </c>
      <c r="B6">
        <v>0</v>
      </c>
      <c r="C6">
        <v>42</v>
      </c>
      <c r="D6">
        <v>86</v>
      </c>
      <c r="E6">
        <f t="shared" si="4"/>
        <v>85.999999999999986</v>
      </c>
      <c r="F6">
        <v>8.1395348837209305</v>
      </c>
      <c r="G6">
        <f t="shared" si="1"/>
        <v>6.9999999999999991</v>
      </c>
      <c r="I6">
        <v>409</v>
      </c>
      <c r="L6">
        <f>(I6*10000)/0.1</f>
        <v>40900000</v>
      </c>
      <c r="N6">
        <f t="shared" si="0"/>
        <v>2.102689486552567E-6</v>
      </c>
    </row>
    <row r="7" spans="1:21" x14ac:dyDescent="0.2">
      <c r="A7" t="s">
        <v>36</v>
      </c>
      <c r="B7">
        <v>32</v>
      </c>
      <c r="C7">
        <v>32</v>
      </c>
      <c r="D7">
        <v>77</v>
      </c>
      <c r="E7">
        <f t="shared" si="4"/>
        <v>77</v>
      </c>
      <c r="F7">
        <v>3.8961038961038961</v>
      </c>
      <c r="G7">
        <f t="shared" si="1"/>
        <v>3</v>
      </c>
      <c r="I7">
        <v>410</v>
      </c>
      <c r="L7">
        <f t="shared" ref="L7:L9" si="5">(I7*10000)/0.1</f>
        <v>41000000</v>
      </c>
      <c r="N7">
        <f t="shared" si="0"/>
        <v>1.8780487804878048E-6</v>
      </c>
    </row>
    <row r="8" spans="1:21" x14ac:dyDescent="0.2">
      <c r="A8" t="s">
        <v>36</v>
      </c>
      <c r="B8">
        <v>320</v>
      </c>
      <c r="C8">
        <v>180</v>
      </c>
      <c r="D8">
        <v>313</v>
      </c>
      <c r="E8">
        <f t="shared" si="4"/>
        <v>313</v>
      </c>
      <c r="F8">
        <v>4.4728434504792327</v>
      </c>
      <c r="G8">
        <f t="shared" si="1"/>
        <v>14</v>
      </c>
      <c r="I8">
        <v>283</v>
      </c>
      <c r="L8">
        <f t="shared" si="5"/>
        <v>28300000</v>
      </c>
      <c r="N8">
        <f t="shared" si="0"/>
        <v>1.1060070671378091E-5</v>
      </c>
      <c r="Q8" s="2"/>
    </row>
    <row r="9" spans="1:21" x14ac:dyDescent="0.2">
      <c r="A9" t="s">
        <v>36</v>
      </c>
      <c r="B9" s="1">
        <v>3200</v>
      </c>
      <c r="C9" s="1">
        <v>32</v>
      </c>
      <c r="D9" s="1">
        <v>89</v>
      </c>
      <c r="E9" s="1">
        <f t="shared" si="4"/>
        <v>89</v>
      </c>
      <c r="F9" s="1">
        <v>12.359550561797752</v>
      </c>
      <c r="G9">
        <f t="shared" si="1"/>
        <v>11</v>
      </c>
      <c r="H9" s="1"/>
      <c r="I9" s="1">
        <v>266</v>
      </c>
      <c r="J9" s="1"/>
      <c r="K9" s="1"/>
      <c r="L9">
        <f t="shared" si="5"/>
        <v>26600000</v>
      </c>
      <c r="M9" s="1"/>
      <c r="N9" s="1">
        <f t="shared" si="0"/>
        <v>3.3458646616541352E-6</v>
      </c>
      <c r="O9" s="1"/>
      <c r="P9" s="1"/>
      <c r="Q9" s="3"/>
      <c r="R9" s="1"/>
      <c r="S9" s="1"/>
      <c r="T9" s="1"/>
      <c r="U9" s="1"/>
    </row>
    <row r="10" spans="1:21" x14ac:dyDescent="0.2">
      <c r="A10" t="s">
        <v>37</v>
      </c>
      <c r="B10">
        <v>0</v>
      </c>
      <c r="C10" s="1">
        <v>3</v>
      </c>
      <c r="D10" s="1">
        <v>144</v>
      </c>
      <c r="E10">
        <f t="shared" si="4"/>
        <v>144</v>
      </c>
      <c r="F10">
        <v>0</v>
      </c>
      <c r="G10">
        <f t="shared" si="1"/>
        <v>0</v>
      </c>
      <c r="I10">
        <v>52</v>
      </c>
      <c r="J10">
        <v>33</v>
      </c>
      <c r="L10">
        <f>(I10*100000)/0.1</f>
        <v>52000000</v>
      </c>
      <c r="N10">
        <f t="shared" si="0"/>
        <v>2.7692307692307693E-6</v>
      </c>
      <c r="Q10" s="2"/>
    </row>
    <row r="11" spans="1:21" x14ac:dyDescent="0.2">
      <c r="A11" t="s">
        <v>37</v>
      </c>
      <c r="B11">
        <v>32</v>
      </c>
      <c r="C11" s="1">
        <v>9</v>
      </c>
      <c r="D11" s="1">
        <v>194</v>
      </c>
      <c r="E11">
        <f t="shared" si="4"/>
        <v>193.99999999999997</v>
      </c>
      <c r="F11">
        <v>2.0618556701030926</v>
      </c>
      <c r="G11">
        <f t="shared" si="1"/>
        <v>3.9999999999999987</v>
      </c>
      <c r="I11">
        <v>63</v>
      </c>
      <c r="J11">
        <v>29</v>
      </c>
      <c r="L11">
        <f t="shared" ref="L11" si="6">(I11*100000)/0.1</f>
        <v>63000000</v>
      </c>
      <c r="N11">
        <f t="shared" si="0"/>
        <v>3.079365079365079E-6</v>
      </c>
      <c r="Q11" s="2"/>
    </row>
    <row r="12" spans="1:21" x14ac:dyDescent="0.2">
      <c r="A12" t="s">
        <v>37</v>
      </c>
      <c r="B12">
        <v>320</v>
      </c>
      <c r="C12" s="1">
        <v>20</v>
      </c>
      <c r="D12" s="1">
        <v>117</v>
      </c>
      <c r="E12">
        <f t="shared" si="4"/>
        <v>116.99999999999999</v>
      </c>
      <c r="F12">
        <v>1.7094017094017095</v>
      </c>
      <c r="G12">
        <f t="shared" si="1"/>
        <v>2</v>
      </c>
      <c r="I12">
        <v>4</v>
      </c>
      <c r="J12">
        <v>146</v>
      </c>
      <c r="L12">
        <f>(J12*10000)/0.1</f>
        <v>14600000</v>
      </c>
      <c r="N12">
        <f t="shared" si="0"/>
        <v>8.0136986301369851E-6</v>
      </c>
    </row>
    <row r="13" spans="1:21" x14ac:dyDescent="0.2">
      <c r="A13" t="s">
        <v>37</v>
      </c>
      <c r="B13" s="1">
        <v>3200</v>
      </c>
      <c r="C13" s="1">
        <v>21</v>
      </c>
      <c r="D13" s="1">
        <v>101</v>
      </c>
      <c r="E13" s="1">
        <f t="shared" si="4"/>
        <v>100.99999999999999</v>
      </c>
      <c r="F13" s="1">
        <v>5.9405940594059405</v>
      </c>
      <c r="G13">
        <f t="shared" si="1"/>
        <v>5.9999999999999991</v>
      </c>
      <c r="H13" s="1"/>
      <c r="I13" s="1">
        <v>6</v>
      </c>
      <c r="J13" s="1">
        <v>68</v>
      </c>
      <c r="K13" s="1"/>
      <c r="L13">
        <f>(J13*10000)/0.1</f>
        <v>6800000</v>
      </c>
      <c r="M13" s="1"/>
      <c r="N13" s="1">
        <f t="shared" si="0"/>
        <v>1.4852941176470587E-5</v>
      </c>
      <c r="O13" s="1"/>
      <c r="P13" s="1"/>
      <c r="Q13" s="1"/>
      <c r="R13" s="1"/>
      <c r="S13" s="1"/>
      <c r="T13" s="1"/>
      <c r="U13" s="1"/>
    </row>
    <row r="14" spans="1:21" x14ac:dyDescent="0.2">
      <c r="K14" s="64"/>
      <c r="L14" s="64"/>
      <c r="T14" s="64"/>
    </row>
  </sheetData>
  <phoneticPr fontId="1" type="noConversion"/>
  <conditionalFormatting sqref="N2:N13">
    <cfRule type="cellIs" dxfId="6" priority="1" operator="equal">
      <formula>0</formula>
    </cfRule>
    <cfRule type="cellIs" dxfId="5" priority="3" operator="greaterThan">
      <formula>0.000003</formula>
    </cfRule>
    <cfRule type="cellIs" dxfId="4" priority="4" operator="greaterThan">
      <formula>0.000001</formula>
    </cfRule>
    <cfRule type="cellIs" dxfId="3" priority="5" operator="greaterThan">
      <formula>0.00000075</formula>
    </cfRule>
    <cfRule type="cellIs" dxfId="2" priority="6" stopIfTrue="1" operator="greaterThan">
      <formula>0.00000025</formula>
    </cfRule>
    <cfRule type="cellIs" dxfId="1" priority="7" operator="greaterThan">
      <formula>0.00000001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3F86-4014-A640-8FF2-6C6A54CB640C}">
  <sheetPr>
    <pageSetUpPr fitToPage="1"/>
  </sheetPr>
  <dimension ref="A1:U13"/>
  <sheetViews>
    <sheetView workbookViewId="0">
      <selection activeCell="D17" sqref="D17"/>
    </sheetView>
  </sheetViews>
  <sheetFormatPr baseColWidth="10" defaultRowHeight="16" x14ac:dyDescent="0.2"/>
  <cols>
    <col min="1" max="1" width="27.83203125" customWidth="1"/>
    <col min="2" max="2" width="8.6640625" customWidth="1"/>
    <col min="3" max="3" width="6.83203125" customWidth="1"/>
    <col min="7" max="7" width="13.5" customWidth="1"/>
    <col min="8" max="8" width="13.33203125" customWidth="1"/>
    <col min="9" max="9" width="14.6640625" customWidth="1"/>
    <col min="10" max="10" width="13.83203125" customWidth="1"/>
    <col min="11" max="11" width="13.5" customWidth="1"/>
    <col min="12" max="12" width="14.6640625" customWidth="1"/>
    <col min="13" max="14" width="13.33203125" customWidth="1"/>
  </cols>
  <sheetData>
    <row r="1" spans="1:21" ht="86" thickBot="1" x14ac:dyDescent="0.25">
      <c r="A1" s="4" t="s">
        <v>12</v>
      </c>
      <c r="B1" s="4" t="s">
        <v>13</v>
      </c>
      <c r="C1" s="4" t="s">
        <v>0</v>
      </c>
      <c r="D1" s="5" t="s">
        <v>14</v>
      </c>
      <c r="E1" s="6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6" t="s">
        <v>20</v>
      </c>
      <c r="K1" s="5" t="s">
        <v>21</v>
      </c>
      <c r="L1" s="5" t="s">
        <v>22</v>
      </c>
      <c r="M1" s="6" t="s">
        <v>30</v>
      </c>
      <c r="N1" s="5" t="s">
        <v>31</v>
      </c>
      <c r="O1" s="7" t="s">
        <v>23</v>
      </c>
      <c r="P1" s="5" t="s">
        <v>24</v>
      </c>
      <c r="Q1" s="7" t="s">
        <v>25</v>
      </c>
      <c r="R1" s="7" t="s">
        <v>26</v>
      </c>
      <c r="S1" s="7" t="s">
        <v>27</v>
      </c>
      <c r="T1" s="7" t="s">
        <v>32</v>
      </c>
      <c r="U1" s="8" t="s">
        <v>29</v>
      </c>
    </row>
    <row r="2" spans="1:21" ht="17" thickBot="1" x14ac:dyDescent="0.25">
      <c r="A2" s="9" t="s">
        <v>28</v>
      </c>
      <c r="B2" s="10">
        <v>2</v>
      </c>
      <c r="C2" s="11">
        <v>2.4</v>
      </c>
      <c r="D2" s="12">
        <v>0</v>
      </c>
      <c r="E2">
        <v>48</v>
      </c>
      <c r="F2" s="13">
        <v>48</v>
      </c>
      <c r="G2" s="14">
        <v>29</v>
      </c>
      <c r="H2" s="14">
        <v>29</v>
      </c>
      <c r="I2" s="57">
        <v>11</v>
      </c>
      <c r="J2" s="15">
        <f t="shared" ref="J2:J13" si="0">SUM(I2/F2)*100</f>
        <v>22.916666666666664</v>
      </c>
      <c r="K2" s="21">
        <f>SUM(E2*(I2/F2))</f>
        <v>11</v>
      </c>
      <c r="L2" s="16">
        <v>11</v>
      </c>
      <c r="M2" s="15">
        <f>SUM(L2/E2)*100</f>
        <v>22.916666666666664</v>
      </c>
      <c r="N2" s="21">
        <f>SUM(E2*(L2/F2))</f>
        <v>11</v>
      </c>
      <c r="O2" s="17">
        <v>3</v>
      </c>
      <c r="P2" s="18">
        <v>3</v>
      </c>
      <c r="Q2" s="18">
        <v>2</v>
      </c>
      <c r="R2" s="18">
        <v>3</v>
      </c>
      <c r="S2" s="18"/>
      <c r="T2" s="19"/>
      <c r="U2" s="20">
        <v>11</v>
      </c>
    </row>
    <row r="3" spans="1:21" ht="17" thickBot="1" x14ac:dyDescent="0.25">
      <c r="A3" s="13" t="s">
        <v>28</v>
      </c>
      <c r="B3" s="10">
        <v>2</v>
      </c>
      <c r="C3" s="11">
        <v>2.4</v>
      </c>
      <c r="D3" s="22">
        <v>32</v>
      </c>
      <c r="E3">
        <v>38</v>
      </c>
      <c r="F3" s="13">
        <v>38</v>
      </c>
      <c r="G3" s="23">
        <v>22</v>
      </c>
      <c r="H3" s="23">
        <v>22</v>
      </c>
      <c r="I3" s="58">
        <v>8</v>
      </c>
      <c r="J3" s="15">
        <f t="shared" si="0"/>
        <v>21.052631578947366</v>
      </c>
      <c r="K3" s="21">
        <f t="shared" ref="K3:K13" si="1">SUM(E3*(I3/F3))</f>
        <v>8</v>
      </c>
      <c r="L3" s="24">
        <v>7</v>
      </c>
      <c r="M3" s="15">
        <f t="shared" ref="M3:M13" si="2">SUM(L3/E3)*100</f>
        <v>18.421052631578945</v>
      </c>
      <c r="N3" s="21">
        <f t="shared" ref="N3:N13" si="3">SUM(E3*(L3/F3))</f>
        <v>7</v>
      </c>
      <c r="O3" s="25">
        <v>2</v>
      </c>
      <c r="P3" s="26">
        <v>4</v>
      </c>
      <c r="Q3" s="26">
        <v>1</v>
      </c>
      <c r="R3" s="26">
        <v>0</v>
      </c>
      <c r="S3" s="26"/>
      <c r="T3" s="27"/>
      <c r="U3" s="28">
        <v>7</v>
      </c>
    </row>
    <row r="4" spans="1:21" ht="17" thickBot="1" x14ac:dyDescent="0.25">
      <c r="A4" s="13" t="s">
        <v>28</v>
      </c>
      <c r="B4" s="10">
        <v>2</v>
      </c>
      <c r="C4" s="11">
        <v>2.4</v>
      </c>
      <c r="D4" s="22">
        <v>320</v>
      </c>
      <c r="E4">
        <v>84</v>
      </c>
      <c r="F4" s="13">
        <v>48</v>
      </c>
      <c r="G4" s="23">
        <v>34</v>
      </c>
      <c r="H4" s="23">
        <v>34</v>
      </c>
      <c r="I4" s="59">
        <v>16</v>
      </c>
      <c r="J4" s="15">
        <f t="shared" si="0"/>
        <v>33.333333333333329</v>
      </c>
      <c r="K4" s="21">
        <f t="shared" si="1"/>
        <v>28</v>
      </c>
      <c r="L4" s="24">
        <v>16</v>
      </c>
      <c r="M4" s="15">
        <f t="shared" si="2"/>
        <v>19.047619047619047</v>
      </c>
      <c r="N4" s="21">
        <f t="shared" si="3"/>
        <v>28</v>
      </c>
      <c r="O4" s="25">
        <v>1</v>
      </c>
      <c r="P4" s="26">
        <v>1</v>
      </c>
      <c r="Q4" s="26">
        <v>1</v>
      </c>
      <c r="R4" s="26">
        <v>13</v>
      </c>
      <c r="S4" s="26"/>
      <c r="T4" s="27"/>
      <c r="U4" s="28">
        <v>16</v>
      </c>
    </row>
    <row r="5" spans="1:21" s="56" customFormat="1" ht="17" thickBot="1" x14ac:dyDescent="0.25">
      <c r="A5" s="29" t="s">
        <v>28</v>
      </c>
      <c r="B5" s="10">
        <v>2</v>
      </c>
      <c r="C5" s="11">
        <v>2.4</v>
      </c>
      <c r="D5" s="31">
        <v>3200</v>
      </c>
      <c r="E5" s="56">
        <v>48</v>
      </c>
      <c r="F5" s="29">
        <v>48</v>
      </c>
      <c r="G5" s="32">
        <v>38</v>
      </c>
      <c r="H5" s="32">
        <v>38</v>
      </c>
      <c r="I5" s="60">
        <v>23</v>
      </c>
      <c r="J5" s="30">
        <f t="shared" si="0"/>
        <v>47.916666666666671</v>
      </c>
      <c r="K5" s="21">
        <f t="shared" si="1"/>
        <v>23</v>
      </c>
      <c r="L5" s="33">
        <v>23</v>
      </c>
      <c r="M5" s="15">
        <f t="shared" si="2"/>
        <v>47.916666666666671</v>
      </c>
      <c r="N5" s="21">
        <f t="shared" si="3"/>
        <v>23</v>
      </c>
      <c r="O5" s="34">
        <v>3</v>
      </c>
      <c r="P5" s="35">
        <v>1</v>
      </c>
      <c r="Q5" s="35">
        <v>0</v>
      </c>
      <c r="R5" s="35">
        <v>19</v>
      </c>
      <c r="S5" s="35"/>
      <c r="T5" s="36"/>
      <c r="U5" s="37">
        <v>23</v>
      </c>
    </row>
    <row r="6" spans="1:21" ht="16" customHeight="1" thickBot="1" x14ac:dyDescent="0.25">
      <c r="A6" s="49" t="s">
        <v>28</v>
      </c>
      <c r="B6" s="10">
        <v>2</v>
      </c>
      <c r="C6" s="48">
        <v>2.5</v>
      </c>
      <c r="D6" s="50">
        <v>0</v>
      </c>
      <c r="E6">
        <v>86</v>
      </c>
      <c r="F6" s="49">
        <v>48</v>
      </c>
      <c r="G6" s="15">
        <v>42</v>
      </c>
      <c r="H6" s="15">
        <v>38</v>
      </c>
      <c r="I6" s="61">
        <v>8</v>
      </c>
      <c r="J6" s="15">
        <f t="shared" si="0"/>
        <v>16.666666666666664</v>
      </c>
      <c r="K6" s="21">
        <f t="shared" si="1"/>
        <v>14.333333333333332</v>
      </c>
      <c r="L6" s="51">
        <v>7</v>
      </c>
      <c r="M6" s="15">
        <f t="shared" si="2"/>
        <v>8.1395348837209305</v>
      </c>
      <c r="N6" s="21">
        <f t="shared" si="3"/>
        <v>12.541666666666668</v>
      </c>
      <c r="O6" s="52">
        <v>1</v>
      </c>
      <c r="P6" s="53"/>
      <c r="Q6" s="53">
        <v>6</v>
      </c>
      <c r="R6" s="53"/>
      <c r="S6" s="53"/>
      <c r="T6" s="54">
        <v>1</v>
      </c>
      <c r="U6" s="55">
        <v>8</v>
      </c>
    </row>
    <row r="7" spans="1:21" ht="17" thickBot="1" x14ac:dyDescent="0.25">
      <c r="A7" s="13" t="s">
        <v>28</v>
      </c>
      <c r="B7" s="10">
        <v>2</v>
      </c>
      <c r="C7" s="48">
        <v>2.5</v>
      </c>
      <c r="D7" s="22">
        <v>32</v>
      </c>
      <c r="E7">
        <v>77</v>
      </c>
      <c r="F7" s="13">
        <v>48</v>
      </c>
      <c r="G7" s="21">
        <v>44</v>
      </c>
      <c r="H7" s="21">
        <v>40</v>
      </c>
      <c r="I7" s="62">
        <v>3</v>
      </c>
      <c r="J7" s="21">
        <f t="shared" si="0"/>
        <v>6.25</v>
      </c>
      <c r="K7" s="21">
        <f t="shared" si="1"/>
        <v>4.8125</v>
      </c>
      <c r="L7" s="38">
        <v>3</v>
      </c>
      <c r="M7" s="15">
        <f t="shared" si="2"/>
        <v>3.8961038961038961</v>
      </c>
      <c r="N7" s="21">
        <f t="shared" si="3"/>
        <v>4.8125</v>
      </c>
      <c r="O7" s="39">
        <v>0</v>
      </c>
      <c r="P7" s="40"/>
      <c r="Q7" s="40">
        <v>3</v>
      </c>
      <c r="R7" s="40"/>
      <c r="S7" s="40"/>
      <c r="T7" s="41">
        <v>0</v>
      </c>
      <c r="U7" s="42">
        <v>3</v>
      </c>
    </row>
    <row r="8" spans="1:21" ht="17" thickBot="1" x14ac:dyDescent="0.25">
      <c r="A8" s="13" t="s">
        <v>28</v>
      </c>
      <c r="B8" s="10">
        <v>2</v>
      </c>
      <c r="C8" s="48">
        <v>2.5</v>
      </c>
      <c r="D8" s="22">
        <v>320</v>
      </c>
      <c r="E8">
        <v>313</v>
      </c>
      <c r="F8" s="13">
        <v>48</v>
      </c>
      <c r="G8" s="21">
        <v>46</v>
      </c>
      <c r="H8" s="21">
        <v>38</v>
      </c>
      <c r="I8" s="62">
        <v>15</v>
      </c>
      <c r="J8" s="21">
        <f t="shared" si="0"/>
        <v>31.25</v>
      </c>
      <c r="K8" s="21">
        <f t="shared" si="1"/>
        <v>97.8125</v>
      </c>
      <c r="L8" s="38">
        <v>14</v>
      </c>
      <c r="M8" s="15">
        <f t="shared" si="2"/>
        <v>4.4728434504792327</v>
      </c>
      <c r="N8" s="21">
        <f t="shared" si="3"/>
        <v>91.291666666666671</v>
      </c>
      <c r="O8" s="39">
        <v>0</v>
      </c>
      <c r="P8" s="40"/>
      <c r="Q8" s="40">
        <v>14</v>
      </c>
      <c r="R8" s="40"/>
      <c r="S8" s="40"/>
      <c r="T8" s="41">
        <v>0</v>
      </c>
      <c r="U8" s="42">
        <v>14</v>
      </c>
    </row>
    <row r="9" spans="1:21" s="56" customFormat="1" ht="17" thickBot="1" x14ac:dyDescent="0.25">
      <c r="A9" s="29" t="s">
        <v>28</v>
      </c>
      <c r="B9" s="10">
        <v>2</v>
      </c>
      <c r="C9" s="48">
        <v>2.5</v>
      </c>
      <c r="D9" s="31">
        <v>3200</v>
      </c>
      <c r="E9" s="56">
        <v>89</v>
      </c>
      <c r="F9" s="30">
        <v>48</v>
      </c>
      <c r="G9" s="30">
        <v>44</v>
      </c>
      <c r="H9" s="30">
        <v>44</v>
      </c>
      <c r="I9" s="63">
        <v>11</v>
      </c>
      <c r="J9" s="30">
        <f t="shared" si="0"/>
        <v>22.916666666666664</v>
      </c>
      <c r="K9" s="21">
        <f t="shared" si="1"/>
        <v>20.395833333333332</v>
      </c>
      <c r="L9" s="43">
        <v>11</v>
      </c>
      <c r="M9" s="15">
        <f t="shared" si="2"/>
        <v>12.359550561797752</v>
      </c>
      <c r="N9" s="21">
        <f t="shared" si="3"/>
        <v>20.395833333333332</v>
      </c>
      <c r="O9" s="44">
        <v>1</v>
      </c>
      <c r="P9" s="45"/>
      <c r="Q9" s="45">
        <v>10</v>
      </c>
      <c r="R9" s="45"/>
      <c r="S9" s="45"/>
      <c r="T9" s="46">
        <v>1</v>
      </c>
      <c r="U9" s="47">
        <v>12</v>
      </c>
    </row>
    <row r="10" spans="1:21" ht="17" thickBot="1" x14ac:dyDescent="0.25">
      <c r="A10" s="49" t="s">
        <v>28</v>
      </c>
      <c r="B10" s="10">
        <v>2</v>
      </c>
      <c r="C10" s="48">
        <v>2.6</v>
      </c>
      <c r="D10" s="50">
        <v>0</v>
      </c>
      <c r="E10" s="1">
        <v>144</v>
      </c>
      <c r="F10" s="49">
        <v>48</v>
      </c>
      <c r="G10" s="15">
        <v>28</v>
      </c>
      <c r="H10" s="15">
        <v>17</v>
      </c>
      <c r="I10" s="61">
        <v>1</v>
      </c>
      <c r="J10" s="15">
        <f t="shared" si="0"/>
        <v>2.083333333333333</v>
      </c>
      <c r="K10" s="21">
        <f t="shared" si="1"/>
        <v>3</v>
      </c>
      <c r="L10" s="51">
        <v>0</v>
      </c>
      <c r="M10" s="15">
        <f t="shared" si="2"/>
        <v>0</v>
      </c>
      <c r="N10" s="21">
        <f t="shared" si="3"/>
        <v>0</v>
      </c>
      <c r="O10" s="52">
        <v>0</v>
      </c>
      <c r="P10" s="53"/>
      <c r="Q10" s="53">
        <v>0</v>
      </c>
      <c r="R10" s="53">
        <v>0</v>
      </c>
      <c r="S10" s="53"/>
      <c r="T10" s="54">
        <v>1</v>
      </c>
      <c r="U10" s="55">
        <v>1</v>
      </c>
    </row>
    <row r="11" spans="1:21" ht="17" thickBot="1" x14ac:dyDescent="0.25">
      <c r="A11" s="13" t="s">
        <v>28</v>
      </c>
      <c r="B11" s="10">
        <v>2</v>
      </c>
      <c r="C11" s="48">
        <v>2.6</v>
      </c>
      <c r="D11" s="22">
        <v>32</v>
      </c>
      <c r="E11" s="1">
        <v>194</v>
      </c>
      <c r="F11" s="13">
        <v>48</v>
      </c>
      <c r="G11" s="21">
        <v>42</v>
      </c>
      <c r="H11" s="21">
        <v>35</v>
      </c>
      <c r="I11" s="62">
        <v>5</v>
      </c>
      <c r="J11" s="21">
        <f t="shared" si="0"/>
        <v>10.416666666666668</v>
      </c>
      <c r="K11" s="21">
        <f t="shared" si="1"/>
        <v>20.208333333333336</v>
      </c>
      <c r="L11" s="38">
        <v>4</v>
      </c>
      <c r="M11" s="15">
        <f t="shared" si="2"/>
        <v>2.0618556701030926</v>
      </c>
      <c r="N11" s="21">
        <f t="shared" si="3"/>
        <v>16.166666666666664</v>
      </c>
      <c r="O11" s="39">
        <v>2</v>
      </c>
      <c r="P11" s="40"/>
      <c r="Q11" s="40">
        <v>2</v>
      </c>
      <c r="R11" s="40">
        <v>0</v>
      </c>
      <c r="S11" s="40"/>
      <c r="T11" s="41"/>
      <c r="U11" s="42">
        <v>4</v>
      </c>
    </row>
    <row r="12" spans="1:21" ht="17" thickBot="1" x14ac:dyDescent="0.25">
      <c r="A12" s="13" t="s">
        <v>28</v>
      </c>
      <c r="B12" s="10">
        <v>2</v>
      </c>
      <c r="C12" s="48">
        <v>2.6</v>
      </c>
      <c r="D12" s="22">
        <v>320</v>
      </c>
      <c r="E12" s="1">
        <v>117</v>
      </c>
      <c r="F12" s="13">
        <v>48</v>
      </c>
      <c r="G12" s="21">
        <v>35</v>
      </c>
      <c r="H12" s="21">
        <v>23</v>
      </c>
      <c r="I12" s="62">
        <v>2</v>
      </c>
      <c r="J12" s="21">
        <f t="shared" si="0"/>
        <v>4.1666666666666661</v>
      </c>
      <c r="K12" s="21">
        <f t="shared" si="1"/>
        <v>4.875</v>
      </c>
      <c r="L12" s="38">
        <v>2</v>
      </c>
      <c r="M12" s="15">
        <f t="shared" si="2"/>
        <v>1.7094017094017095</v>
      </c>
      <c r="N12" s="21">
        <f t="shared" si="3"/>
        <v>4.875</v>
      </c>
      <c r="O12" s="39">
        <v>0</v>
      </c>
      <c r="P12" s="40"/>
      <c r="Q12" s="40">
        <v>1</v>
      </c>
      <c r="R12" s="40">
        <v>1</v>
      </c>
      <c r="S12" s="40"/>
      <c r="T12" s="41"/>
      <c r="U12" s="42">
        <v>2</v>
      </c>
    </row>
    <row r="13" spans="1:21" s="56" customFormat="1" ht="17" thickBot="1" x14ac:dyDescent="0.25">
      <c r="A13" s="29" t="s">
        <v>28</v>
      </c>
      <c r="B13" s="10">
        <v>2</v>
      </c>
      <c r="C13" s="48">
        <v>2.6</v>
      </c>
      <c r="D13" s="31">
        <v>3200</v>
      </c>
      <c r="E13" s="56">
        <v>101</v>
      </c>
      <c r="F13" s="30">
        <v>48</v>
      </c>
      <c r="G13" s="30">
        <v>43</v>
      </c>
      <c r="H13" s="30">
        <v>36</v>
      </c>
      <c r="I13" s="63">
        <v>6</v>
      </c>
      <c r="J13" s="30">
        <f t="shared" si="0"/>
        <v>12.5</v>
      </c>
      <c r="K13" s="21">
        <f t="shared" si="1"/>
        <v>12.625</v>
      </c>
      <c r="L13" s="43">
        <v>6</v>
      </c>
      <c r="M13" s="15">
        <f t="shared" si="2"/>
        <v>5.9405940594059405</v>
      </c>
      <c r="N13" s="21">
        <f t="shared" si="3"/>
        <v>12.625</v>
      </c>
      <c r="O13" s="44">
        <v>1</v>
      </c>
      <c r="P13" s="45"/>
      <c r="Q13" s="45">
        <v>5</v>
      </c>
      <c r="R13" s="45">
        <v>0</v>
      </c>
      <c r="S13" s="45">
        <v>1</v>
      </c>
      <c r="T13" s="46">
        <v>1</v>
      </c>
      <c r="U13" s="47">
        <v>8</v>
      </c>
    </row>
  </sheetData>
  <pageMargins left="0.7" right="0.7" top="0.75" bottom="0.75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cp:lastPrinted>2026-04-24T14:48:16Z</cp:lastPrinted>
  <dcterms:created xsi:type="dcterms:W3CDTF">2026-02-19T11:05:42Z</dcterms:created>
  <dcterms:modified xsi:type="dcterms:W3CDTF">2026-07-15T10:32:30Z</dcterms:modified>
</cp:coreProperties>
</file>